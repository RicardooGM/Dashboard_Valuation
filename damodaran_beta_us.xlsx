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314e3df45ea989/Documents/"/>
    </mc:Choice>
  </mc:AlternateContent>
  <xr:revisionPtr revIDLastSave="0" documentId="8_{0B9B294E-1347-45AF-8B2A-F849DC3CDF1E}" xr6:coauthVersionLast="47" xr6:coauthVersionMax="47" xr10:uidLastSave="{00000000-0000-0000-0000-000000000000}"/>
  <bookViews>
    <workbookView xWindow="-120" yWindow="-120" windowWidth="20730" windowHeight="11040" xr2:uid="{605D8DA7-2CE7-4182-82AF-39633F8E01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F94" i="1"/>
  <c r="F97" i="1"/>
  <c r="F96" i="1"/>
  <c r="F95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59" i="1"/>
  <c r="F33" i="1"/>
  <c r="F80" i="1"/>
  <c r="F77" i="1"/>
  <c r="F71" i="1"/>
  <c r="F64" i="1"/>
  <c r="F57" i="1"/>
  <c r="F47" i="1"/>
  <c r="F34" i="1"/>
  <c r="F30" i="1"/>
  <c r="F15" i="1"/>
  <c r="F63" i="1"/>
  <c r="F41" i="1"/>
  <c r="F55" i="1"/>
  <c r="F29" i="1"/>
  <c r="F20" i="1"/>
  <c r="F69" i="1"/>
  <c r="F70" i="1"/>
  <c r="F60" i="1"/>
  <c r="F38" i="1"/>
  <c r="F18" i="1"/>
  <c r="F10" i="1"/>
  <c r="F28" i="1"/>
  <c r="F27" i="1"/>
  <c r="F19" i="1"/>
  <c r="F11" i="1"/>
  <c r="F65" i="1"/>
  <c r="F76" i="1"/>
  <c r="F54" i="1"/>
  <c r="F31" i="1"/>
  <c r="F56" i="1"/>
  <c r="F48" i="1"/>
  <c r="F40" i="1"/>
  <c r="F24" i="1"/>
  <c r="F16" i="1"/>
  <c r="F78" i="1"/>
  <c r="F35" i="1"/>
  <c r="F72" i="1"/>
  <c r="F21" i="1"/>
  <c r="F58" i="1"/>
  <c r="F50" i="1"/>
  <c r="F42" i="1"/>
  <c r="F51" i="1"/>
  <c r="F22" i="1"/>
  <c r="F14" i="1"/>
  <c r="F74" i="1"/>
  <c r="F39" i="1"/>
  <c r="F17" i="1"/>
  <c r="F45" i="1"/>
  <c r="F37" i="1"/>
  <c r="F25" i="1"/>
  <c r="F13" i="1"/>
  <c r="F79" i="1"/>
  <c r="F75" i="1"/>
  <c r="F73" i="1"/>
  <c r="F68" i="1"/>
  <c r="F61" i="1"/>
  <c r="F52" i="1"/>
  <c r="F43" i="1"/>
  <c r="F32" i="1"/>
  <c r="F23" i="1"/>
  <c r="F67" i="1"/>
  <c r="F66" i="1"/>
  <c r="F9" i="1"/>
  <c r="F44" i="1"/>
  <c r="F12" i="1"/>
  <c r="F49" i="1"/>
  <c r="F36" i="1"/>
  <c r="F53" i="1"/>
  <c r="F46" i="1"/>
  <c r="F26" i="1"/>
  <c r="F62" i="1"/>
</calcChain>
</file>

<file path=xl/sharedStrings.xml><?xml version="1.0" encoding="utf-8"?>
<sst xmlns="http://schemas.openxmlformats.org/spreadsheetml/2006/main" count="102" uniqueCount="102">
  <si>
    <t>Industry Name</t>
  </si>
  <si>
    <t>Number of firms</t>
  </si>
  <si>
    <t xml:space="preserve">Beta </t>
  </si>
  <si>
    <t>D/E Ratio</t>
  </si>
  <si>
    <t>Effective Tax rate</t>
  </si>
  <si>
    <t>Unlevered beta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</si>
  <si>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</si>
  <si>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</si>
  <si>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</si>
  <si>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</si>
  <si>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</si>
  <si>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</si>
  <si>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</si>
  <si>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</si>
  <si>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</si>
  <si>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</si>
  <si>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</si>
  <si>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</si>
  <si>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</si>
  <si>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</si>
  <si>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</si>
  <si>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</si>
  <si>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</si>
  <si>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</si>
  <si>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</si>
  <si>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</si>
  <si>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</si>
  <si>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</si>
  <si>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</si>
  <si>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</si>
  <si>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</si>
  <si>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</si>
  <si>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</si>
  <si>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</si>
  <si>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</si>
  <si>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</si>
  <si>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</si>
  <si>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</si>
  <si>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</si>
  <si>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</si>
  <si>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</si>
  <si>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</si>
  <si>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</si>
  <si>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</si>
  <si>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</si>
  <si>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</si>
  <si>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</si>
  <si>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</si>
  <si>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</si>
  <si>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</si>
  <si>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</si>
  <si>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</si>
  <si>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</si>
  <si>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</si>
  <si>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</si>
  <si>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</si>
  <si>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</si>
  <si>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</si>
  <si>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</si>
  <si>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</si>
  <si>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</si>
  <si>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</si>
  <si>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</si>
  <si>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</si>
  <si>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</si>
  <si>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</si>
  <si>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</si>
  <si>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</si>
  <si>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</si>
  <si>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</si>
  <si>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</si>
  <si>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</si>
  <si>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</si>
  <si>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</si>
  <si>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</si>
  <si>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</si>
  <si>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</si>
  <si>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</si>
  <si>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</si>
  <si>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</si>
  <si>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(REITs)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</si>
  <si>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</si>
  <si>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</si>
  <si>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</si>
  <si>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</si>
  <si>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</si>
  <si>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</si>
  <si>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</si>
  <si>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</si>
  <si>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</si>
  <si>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</si>
  <si>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</si>
  <si>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</si>
  <si>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</si>
  <si>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</si>
  <si>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</si>
  <si>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</si>
  <si>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</si>
  <si>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</si>
  <si>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</si>
  <si>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Total Market</t>
  </si>
  <si>
    <t>Total Market (without financials)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</si>
</sst>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058D-CFFE-426E-BE4E-C67451E1ACC9}">
  <dimension ref="A1:F97"/>
  <sheetViews>
    <sheetView tabSelected="1" workbookViewId="0">
      <selection activeCell="G1" sqref="G1"/>
    </sheetView>
  </sheetViews>
  <sheetFormatPr defaultRowHeight="15" x14ac:dyDescent="0.25"/>
  <cols>
    <col min="1" max="6" width="12.28515625" customWidth="1"/>
  </cols>
  <sheetData>
    <row r="1" spans="1:6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54</v>
      </c>
      <c r="C2" s="1">
        <v>1.34</v>
      </c>
      <c r="D2" s="3">
        <v>0.26200000000000001</v>
      </c>
      <c r="E2" s="3">
        <v>7.6700000000000004E-2</v>
      </c>
      <c r="F2" s="3">
        <f ca="1">IF($F$8="Effective",C2/(1+(1-E2)*D2),C2/(1+(1-$F$9)*D2))</f>
        <v>1.1199331383201006</v>
      </c>
    </row>
    <row r="3" spans="1:6" ht="22.5" x14ac:dyDescent="0.25">
      <c r="A3" s="1" t="s">
        <v>7</v>
      </c>
      <c r="B3" s="1">
        <v>67</v>
      </c>
      <c r="C3" s="1">
        <v>0.9</v>
      </c>
      <c r="D3" s="3">
        <v>0.22789999999999999</v>
      </c>
      <c r="E3" s="3">
        <v>0.11020000000000001</v>
      </c>
      <c r="F3" s="3">
        <f t="shared" ref="F3:F66" ca="1" si="0">IF($F$8="Effective",C3/(1+(1-E3)*D3),C3/(1+(1-$F$9)*D3))</f>
        <v>0.76862309712406862</v>
      </c>
    </row>
    <row r="4" spans="1:6" x14ac:dyDescent="0.25">
      <c r="A4" s="1" t="s">
        <v>8</v>
      </c>
      <c r="B4" s="1">
        <v>24</v>
      </c>
      <c r="C4" s="1">
        <v>1.24</v>
      </c>
      <c r="D4" s="3">
        <v>1.0683</v>
      </c>
      <c r="E4" s="3">
        <v>0.10150000000000001</v>
      </c>
      <c r="F4" s="3">
        <f t="shared" ca="1" si="0"/>
        <v>0.6884203805743313</v>
      </c>
    </row>
    <row r="5" spans="1:6" x14ac:dyDescent="0.25">
      <c r="A5" s="1" t="s">
        <v>9</v>
      </c>
      <c r="B5" s="1">
        <v>37</v>
      </c>
      <c r="C5" s="1">
        <v>0.99</v>
      </c>
      <c r="D5" s="3">
        <v>0.45889999999999997</v>
      </c>
      <c r="E5" s="3">
        <v>8.0799999999999997E-2</v>
      </c>
      <c r="F5" s="3">
        <f t="shared" ca="1" si="0"/>
        <v>0.73651124295571635</v>
      </c>
    </row>
    <row r="6" spans="1:6" x14ac:dyDescent="0.25">
      <c r="A6" s="1" t="s">
        <v>10</v>
      </c>
      <c r="B6" s="1">
        <v>34</v>
      </c>
      <c r="C6" s="1">
        <v>1.62</v>
      </c>
      <c r="D6" s="3">
        <v>0.224</v>
      </c>
      <c r="E6" s="3">
        <v>2.1100000000000001E-2</v>
      </c>
      <c r="F6" s="3">
        <f t="shared" ca="1" si="0"/>
        <v>1.3869863013698631</v>
      </c>
    </row>
    <row r="7" spans="1:6" x14ac:dyDescent="0.25">
      <c r="A7" s="1" t="s">
        <v>11</v>
      </c>
      <c r="B7" s="1">
        <v>33</v>
      </c>
      <c r="C7" s="1">
        <v>1.23</v>
      </c>
      <c r="D7" s="3">
        <v>0.4783</v>
      </c>
      <c r="E7" s="3">
        <v>0.12770000000000001</v>
      </c>
      <c r="F7" s="3">
        <f t="shared" ca="1" si="0"/>
        <v>0.90526044637435832</v>
      </c>
    </row>
    <row r="8" spans="1:6" ht="22.5" x14ac:dyDescent="0.25">
      <c r="A8" s="1" t="s">
        <v>12</v>
      </c>
      <c r="B8" s="1">
        <v>15</v>
      </c>
      <c r="C8" s="1">
        <v>0.88</v>
      </c>
      <c r="D8" s="3">
        <v>1.8319000000000001</v>
      </c>
      <c r="E8" s="3">
        <v>0.18099999999999999</v>
      </c>
      <c r="F8" s="3">
        <f t="shared" ca="1" si="0"/>
        <v>0.37069410364691391</v>
      </c>
    </row>
    <row r="9" spans="1:6" x14ac:dyDescent="0.25">
      <c r="A9" s="1" t="s">
        <v>13</v>
      </c>
      <c r="B9" s="1">
        <v>591</v>
      </c>
      <c r="C9" s="1">
        <v>0.52</v>
      </c>
      <c r="D9" s="3">
        <v>0.60319999999999996</v>
      </c>
      <c r="E9" s="3">
        <v>0.16839999999999999</v>
      </c>
      <c r="F9" s="3">
        <f t="shared" ca="1" si="0"/>
        <v>0.35802809143486647</v>
      </c>
    </row>
    <row r="10" spans="1:6" ht="22.5" x14ac:dyDescent="0.25">
      <c r="A10" s="1" t="s">
        <v>14</v>
      </c>
      <c r="B10" s="1">
        <v>18</v>
      </c>
      <c r="C10" s="1">
        <v>0.61</v>
      </c>
      <c r="D10" s="3">
        <v>0.30470000000000003</v>
      </c>
      <c r="E10" s="3">
        <v>8.2799999999999999E-2</v>
      </c>
      <c r="F10" s="3">
        <f t="shared" ca="1" si="0"/>
        <v>0.49653039213691208</v>
      </c>
    </row>
    <row r="11" spans="1:6" x14ac:dyDescent="0.25">
      <c r="A11" s="1" t="s">
        <v>15</v>
      </c>
      <c r="B11" s="1">
        <v>29</v>
      </c>
      <c r="C11" s="1">
        <v>0.56999999999999995</v>
      </c>
      <c r="D11" s="3">
        <v>0.1973</v>
      </c>
      <c r="E11" s="3">
        <v>6.9400000000000003E-2</v>
      </c>
      <c r="F11" s="3">
        <f t="shared" ca="1" si="0"/>
        <v>0.49652649230166157</v>
      </c>
    </row>
    <row r="12" spans="1:6" x14ac:dyDescent="0.25">
      <c r="A12" s="1" t="s">
        <v>16</v>
      </c>
      <c r="B12" s="1">
        <v>22</v>
      </c>
      <c r="C12" s="1">
        <v>0.92</v>
      </c>
      <c r="D12" s="3">
        <v>1.4956</v>
      </c>
      <c r="E12" s="3">
        <v>0.1074</v>
      </c>
      <c r="F12" s="3">
        <f t="shared" ca="1" si="0"/>
        <v>0.43361455436678137</v>
      </c>
    </row>
    <row r="13" spans="1:6" ht="33.75" x14ac:dyDescent="0.25">
      <c r="A13" s="1" t="s">
        <v>17</v>
      </c>
      <c r="B13" s="1">
        <v>30</v>
      </c>
      <c r="C13" s="1">
        <v>0.95</v>
      </c>
      <c r="D13" s="3">
        <v>1.8658999999999999</v>
      </c>
      <c r="E13" s="3">
        <v>0.14419999999999999</v>
      </c>
      <c r="F13" s="3">
        <f t="shared" ca="1" si="0"/>
        <v>0.3959281911291247</v>
      </c>
    </row>
    <row r="14" spans="1:6" x14ac:dyDescent="0.25">
      <c r="A14" s="1" t="s">
        <v>18</v>
      </c>
      <c r="B14" s="1">
        <v>39</v>
      </c>
      <c r="C14" s="1">
        <v>1.36</v>
      </c>
      <c r="D14" s="3">
        <v>0.18970000000000001</v>
      </c>
      <c r="E14" s="3">
        <v>0.19109999999999999</v>
      </c>
      <c r="F14" s="3">
        <f t="shared" ca="1" si="0"/>
        <v>1.1906064651681951</v>
      </c>
    </row>
    <row r="15" spans="1:6" ht="33.75" x14ac:dyDescent="0.25">
      <c r="A15" s="1" t="s">
        <v>19</v>
      </c>
      <c r="B15" s="1">
        <v>152</v>
      </c>
      <c r="C15" s="1">
        <v>1</v>
      </c>
      <c r="D15" s="3">
        <v>0.1678</v>
      </c>
      <c r="E15" s="3">
        <v>0.12479999999999999</v>
      </c>
      <c r="F15" s="3">
        <f t="shared" ca="1" si="0"/>
        <v>0.88821779100235376</v>
      </c>
    </row>
    <row r="16" spans="1:6" x14ac:dyDescent="0.25">
      <c r="A16" s="1" t="s">
        <v>20</v>
      </c>
      <c r="B16" s="1">
        <v>9</v>
      </c>
      <c r="C16" s="1">
        <v>0.96</v>
      </c>
      <c r="D16" s="3">
        <v>1.2635000000000001</v>
      </c>
      <c r="E16" s="3">
        <v>0.1047</v>
      </c>
      <c r="F16" s="3">
        <f t="shared" ca="1" si="0"/>
        <v>0.49290802900969127</v>
      </c>
    </row>
    <row r="17" spans="1:6" x14ac:dyDescent="0.25">
      <c r="A17" s="1" t="s">
        <v>21</v>
      </c>
      <c r="B17" s="1">
        <v>31</v>
      </c>
      <c r="C17" s="1">
        <v>1.1499999999999999</v>
      </c>
      <c r="D17" s="3">
        <v>0.58250000000000002</v>
      </c>
      <c r="E17" s="3">
        <v>7.9699999999999993E-2</v>
      </c>
      <c r="F17" s="3">
        <f t="shared" ca="1" si="0"/>
        <v>0.80034797738147012</v>
      </c>
    </row>
    <row r="18" spans="1:6" ht="22.5" x14ac:dyDescent="0.25">
      <c r="A18" s="1" t="s">
        <v>22</v>
      </c>
      <c r="B18" s="1">
        <v>4</v>
      </c>
      <c r="C18" s="1">
        <v>0.99</v>
      </c>
      <c r="D18" s="3">
        <v>1.1312</v>
      </c>
      <c r="E18" s="3">
        <v>0</v>
      </c>
      <c r="F18" s="3">
        <f t="shared" ca="1" si="0"/>
        <v>0.53559835533434319</v>
      </c>
    </row>
    <row r="19" spans="1:6" ht="22.5" x14ac:dyDescent="0.25">
      <c r="A19" s="1" t="s">
        <v>23</v>
      </c>
      <c r="B19" s="1">
        <v>60</v>
      </c>
      <c r="C19" s="1">
        <v>0.92</v>
      </c>
      <c r="D19" s="3">
        <v>0.2712</v>
      </c>
      <c r="E19" s="3">
        <v>9.9900000000000003E-2</v>
      </c>
      <c r="F19" s="3">
        <f t="shared" ca="1" si="0"/>
        <v>0.76450058168522517</v>
      </c>
    </row>
    <row r="20" spans="1:6" ht="22.5" x14ac:dyDescent="0.25">
      <c r="A20" s="1" t="s">
        <v>24</v>
      </c>
      <c r="B20" s="1">
        <v>16</v>
      </c>
      <c r="C20" s="1">
        <v>1.18</v>
      </c>
      <c r="D20" s="3">
        <v>9.4700000000000006E-2</v>
      </c>
      <c r="E20" s="3">
        <v>2.7699999999999999E-2</v>
      </c>
      <c r="F20" s="3">
        <f t="shared" ca="1" si="0"/>
        <v>1.1017483252024927</v>
      </c>
    </row>
    <row r="21" spans="1:6" ht="22.5" x14ac:dyDescent="0.25">
      <c r="A21" s="1" t="s">
        <v>25</v>
      </c>
      <c r="B21" s="1">
        <v>63</v>
      </c>
      <c r="C21" s="1">
        <v>1.23</v>
      </c>
      <c r="D21" s="3">
        <v>0.26329999999999998</v>
      </c>
      <c r="E21" s="3">
        <v>0.10780000000000001</v>
      </c>
      <c r="F21" s="3">
        <f t="shared" ca="1" si="0"/>
        <v>1.0271613186079041</v>
      </c>
    </row>
    <row r="22" spans="1:6" ht="22.5" x14ac:dyDescent="0.25">
      <c r="A22" s="1" t="s">
        <v>26</v>
      </c>
      <c r="B22" s="1">
        <v>35</v>
      </c>
      <c r="C22" s="1">
        <v>1.1399999999999999</v>
      </c>
      <c r="D22" s="3">
        <v>4.82E-2</v>
      </c>
      <c r="E22" s="3">
        <v>8.9899999999999994E-2</v>
      </c>
      <c r="F22" s="3">
        <f t="shared" ca="1" si="0"/>
        <v>1.1002268011388312</v>
      </c>
    </row>
    <row r="23" spans="1:6" ht="22.5" x14ac:dyDescent="0.25">
      <c r="A23" s="1" t="s">
        <v>27</v>
      </c>
      <c r="B23" s="1">
        <v>46</v>
      </c>
      <c r="C23" s="1">
        <v>1.29</v>
      </c>
      <c r="D23" s="3">
        <v>0.21560000000000001</v>
      </c>
      <c r="E23" s="3">
        <v>0.13550000000000001</v>
      </c>
      <c r="F23" s="3">
        <f t="shared" ca="1" si="0"/>
        <v>1.110441594215374</v>
      </c>
    </row>
    <row r="24" spans="1:6" x14ac:dyDescent="0.25">
      <c r="A24" s="1" t="s">
        <v>28</v>
      </c>
      <c r="B24" s="1">
        <v>21</v>
      </c>
      <c r="C24" s="1">
        <v>1.0900000000000001</v>
      </c>
      <c r="D24" s="3">
        <v>0.16089999999999999</v>
      </c>
      <c r="E24" s="3">
        <v>5.0099999999999999E-2</v>
      </c>
      <c r="F24" s="3">
        <f t="shared" ca="1" si="0"/>
        <v>0.97262810359827778</v>
      </c>
    </row>
    <row r="25" spans="1:6" ht="22.5" x14ac:dyDescent="0.25">
      <c r="A25" s="1" t="s">
        <v>29</v>
      </c>
      <c r="B25" s="1">
        <v>535</v>
      </c>
      <c r="C25" s="1">
        <v>1.25</v>
      </c>
      <c r="D25" s="3">
        <v>0.1709</v>
      </c>
      <c r="E25" s="3">
        <v>1.0500000000000001E-2</v>
      </c>
      <c r="F25" s="3">
        <f t="shared" ca="1" si="0"/>
        <v>1.1079841336672061</v>
      </c>
    </row>
    <row r="26" spans="1:6" ht="22.5" x14ac:dyDescent="0.25">
      <c r="A26" s="1" t="s">
        <v>30</v>
      </c>
      <c r="B26" s="1">
        <v>231</v>
      </c>
      <c r="C26" s="1">
        <v>1.07</v>
      </c>
      <c r="D26" s="3">
        <v>0.16889999999999999</v>
      </c>
      <c r="E26" s="3">
        <v>2.58E-2</v>
      </c>
      <c r="F26" s="3">
        <f t="shared" ca="1" si="0"/>
        <v>0.94969711762486964</v>
      </c>
    </row>
    <row r="27" spans="1:6" x14ac:dyDescent="0.25">
      <c r="A27" s="1" t="s">
        <v>31</v>
      </c>
      <c r="B27" s="1">
        <v>29</v>
      </c>
      <c r="C27" s="1">
        <v>0.98</v>
      </c>
      <c r="D27" s="3">
        <v>0.19439999999999999</v>
      </c>
      <c r="E27" s="3">
        <v>0.11890000000000001</v>
      </c>
      <c r="F27" s="3">
        <f t="shared" ca="1" si="0"/>
        <v>0.85529760865770643</v>
      </c>
    </row>
    <row r="28" spans="1:6" ht="22.5" x14ac:dyDescent="0.25">
      <c r="A28" s="1" t="s">
        <v>32</v>
      </c>
      <c r="B28" s="1">
        <v>101</v>
      </c>
      <c r="C28" s="1">
        <v>1.27</v>
      </c>
      <c r="D28" s="3">
        <v>0.1484</v>
      </c>
      <c r="E28" s="3">
        <v>5.1400000000000001E-2</v>
      </c>
      <c r="F28" s="3">
        <f t="shared" ca="1" si="0"/>
        <v>1.1428057230270854</v>
      </c>
    </row>
    <row r="29" spans="1:6" ht="33.75" x14ac:dyDescent="0.25">
      <c r="A29" s="1" t="s">
        <v>33</v>
      </c>
      <c r="B29" s="1">
        <v>11</v>
      </c>
      <c r="C29" s="1">
        <v>0.92</v>
      </c>
      <c r="D29" s="3">
        <v>0.1331</v>
      </c>
      <c r="E29" s="3">
        <v>0</v>
      </c>
      <c r="F29" s="3">
        <f t="shared" ca="1" si="0"/>
        <v>0.8364967153865388</v>
      </c>
    </row>
    <row r="30" spans="1:6" ht="22.5" x14ac:dyDescent="0.25">
      <c r="A30" s="1" t="s">
        <v>34</v>
      </c>
      <c r="B30" s="1">
        <v>122</v>
      </c>
      <c r="C30" s="1">
        <v>1.06</v>
      </c>
      <c r="D30" s="3">
        <v>0.14419999999999999</v>
      </c>
      <c r="E30" s="3">
        <v>6.59E-2</v>
      </c>
      <c r="F30" s="3">
        <f t="shared" ca="1" si="0"/>
        <v>0.95654920362766782</v>
      </c>
    </row>
    <row r="31" spans="1:6" ht="22.5" x14ac:dyDescent="0.25">
      <c r="A31" s="1" t="s">
        <v>35</v>
      </c>
      <c r="B31" s="1">
        <v>42</v>
      </c>
      <c r="C31" s="1">
        <v>0.99</v>
      </c>
      <c r="D31" s="3">
        <v>0.1792</v>
      </c>
      <c r="E31" s="3">
        <v>0.14710000000000001</v>
      </c>
      <c r="F31" s="3">
        <f t="shared" ca="1" si="0"/>
        <v>0.87270803949224252</v>
      </c>
    </row>
    <row r="32" spans="1:6" x14ac:dyDescent="0.25">
      <c r="A32" s="1" t="s">
        <v>36</v>
      </c>
      <c r="B32" s="1">
        <v>96</v>
      </c>
      <c r="C32" s="1">
        <v>1.04</v>
      </c>
      <c r="D32" s="3">
        <v>0.2034</v>
      </c>
      <c r="E32" s="3">
        <v>2.06E-2</v>
      </c>
      <c r="F32" s="3">
        <f t="shared" ca="1" si="0"/>
        <v>0.90234696976270012</v>
      </c>
    </row>
    <row r="33" spans="1:6" ht="22.5" x14ac:dyDescent="0.25">
      <c r="A33" s="1" t="s">
        <v>37</v>
      </c>
      <c r="B33" s="1">
        <v>50</v>
      </c>
      <c r="C33" s="1">
        <v>0.92</v>
      </c>
      <c r="D33" s="3">
        <v>0.19320000000000001</v>
      </c>
      <c r="E33" s="3">
        <v>6.8400000000000002E-2</v>
      </c>
      <c r="F33" s="3">
        <f t="shared" ca="1" si="0"/>
        <v>0.80356363001135467</v>
      </c>
    </row>
    <row r="34" spans="1:6" ht="22.5" x14ac:dyDescent="0.25">
      <c r="A34" s="1" t="s">
        <v>38</v>
      </c>
      <c r="B34" s="1">
        <v>35</v>
      </c>
      <c r="C34" s="1">
        <v>0.98</v>
      </c>
      <c r="D34" s="3">
        <v>0.5333</v>
      </c>
      <c r="E34" s="3">
        <v>8.8900000000000007E-2</v>
      </c>
      <c r="F34" s="3">
        <f t="shared" ca="1" si="0"/>
        <v>0.70001250022321826</v>
      </c>
    </row>
    <row r="35" spans="1:6" ht="33.75" x14ac:dyDescent="0.25">
      <c r="A35" s="1" t="s">
        <v>39</v>
      </c>
      <c r="B35" s="1">
        <v>166</v>
      </c>
      <c r="C35" s="1">
        <v>1.07</v>
      </c>
      <c r="D35" s="3">
        <v>2.8666</v>
      </c>
      <c r="E35" s="3">
        <v>0.1181</v>
      </c>
      <c r="F35" s="3">
        <f t="shared" ca="1" si="0"/>
        <v>0.33968793155446914</v>
      </c>
    </row>
    <row r="36" spans="1:6" x14ac:dyDescent="0.25">
      <c r="A36" s="1" t="s">
        <v>40</v>
      </c>
      <c r="B36" s="1">
        <v>77</v>
      </c>
      <c r="C36" s="1">
        <v>0.47</v>
      </c>
      <c r="D36" s="3">
        <v>0.36520000000000002</v>
      </c>
      <c r="E36" s="3">
        <v>0.1012</v>
      </c>
      <c r="F36" s="3">
        <f t="shared" ca="1" si="0"/>
        <v>0.36894575712379307</v>
      </c>
    </row>
    <row r="37" spans="1:6" ht="22.5" x14ac:dyDescent="0.25">
      <c r="A37" s="1" t="s">
        <v>41</v>
      </c>
      <c r="B37" s="1">
        <v>14</v>
      </c>
      <c r="C37" s="1">
        <v>0.72</v>
      </c>
      <c r="D37" s="3">
        <v>0.43280000000000002</v>
      </c>
      <c r="E37" s="3">
        <v>0.15529999999999999</v>
      </c>
      <c r="F37" s="3">
        <f t="shared" ca="1" si="0"/>
        <v>0.54356032009663291</v>
      </c>
    </row>
    <row r="38" spans="1:6" ht="22.5" x14ac:dyDescent="0.25">
      <c r="A38" s="1" t="s">
        <v>42</v>
      </c>
      <c r="B38" s="1">
        <v>28</v>
      </c>
      <c r="C38" s="1">
        <v>0.87</v>
      </c>
      <c r="D38" s="3">
        <v>0.41930000000000001</v>
      </c>
      <c r="E38" s="3">
        <v>0.11609999999999999</v>
      </c>
      <c r="F38" s="3">
        <f t="shared" ca="1" si="0"/>
        <v>0.66186119933813881</v>
      </c>
    </row>
    <row r="39" spans="1:6" ht="33.75" x14ac:dyDescent="0.25">
      <c r="A39" s="1" t="s">
        <v>43</v>
      </c>
      <c r="B39" s="1">
        <v>18</v>
      </c>
      <c r="C39" s="1">
        <v>1.1299999999999999</v>
      </c>
      <c r="D39" s="3">
        <v>1.7618</v>
      </c>
      <c r="E39" s="3">
        <v>1.2200000000000001E-2</v>
      </c>
      <c r="F39" s="3">
        <f t="shared" ca="1" si="0"/>
        <v>0.48678570659314624</v>
      </c>
    </row>
    <row r="40" spans="1:6" ht="22.5" x14ac:dyDescent="0.25">
      <c r="A40" s="1" t="s">
        <v>44</v>
      </c>
      <c r="B40" s="1">
        <v>218</v>
      </c>
      <c r="C40" s="1">
        <v>1.01</v>
      </c>
      <c r="D40" s="3">
        <v>0.12790000000000001</v>
      </c>
      <c r="E40" s="3">
        <v>4.1000000000000002E-2</v>
      </c>
      <c r="F40" s="3">
        <f t="shared" ca="1" si="0"/>
        <v>0.92159591212902336</v>
      </c>
    </row>
    <row r="41" spans="1:6" ht="22.5" x14ac:dyDescent="0.25">
      <c r="A41" s="1" t="s">
        <v>45</v>
      </c>
      <c r="B41" s="1">
        <v>113</v>
      </c>
      <c r="C41" s="1">
        <v>0.94</v>
      </c>
      <c r="D41" s="3">
        <v>0.32200000000000001</v>
      </c>
      <c r="E41" s="3">
        <v>8.7999999999999995E-2</v>
      </c>
      <c r="F41" s="3">
        <f t="shared" ca="1" si="0"/>
        <v>0.75714861055175187</v>
      </c>
    </row>
    <row r="42" spans="1:6" ht="33.75" x14ac:dyDescent="0.25">
      <c r="A42" s="1" t="s">
        <v>46</v>
      </c>
      <c r="B42" s="1">
        <v>116</v>
      </c>
      <c r="C42" s="1">
        <v>1.22</v>
      </c>
      <c r="D42" s="3">
        <v>0.16200000000000001</v>
      </c>
      <c r="E42" s="3">
        <v>3.8199999999999998E-2</v>
      </c>
      <c r="F42" s="3">
        <f t="shared" ca="1" si="0"/>
        <v>1.0878288007133303</v>
      </c>
    </row>
    <row r="43" spans="1:6" x14ac:dyDescent="0.25">
      <c r="A43" s="1" t="s">
        <v>47</v>
      </c>
      <c r="B43" s="1">
        <v>30</v>
      </c>
      <c r="C43" s="1">
        <v>1.43</v>
      </c>
      <c r="D43" s="3">
        <v>0.17499999999999999</v>
      </c>
      <c r="E43" s="3">
        <v>0.17730000000000001</v>
      </c>
      <c r="F43" s="3">
        <f t="shared" ca="1" si="0"/>
        <v>1.264088397790055</v>
      </c>
    </row>
    <row r="44" spans="1:6" ht="22.5" x14ac:dyDescent="0.25">
      <c r="A44" s="1" t="s">
        <v>48</v>
      </c>
      <c r="B44" s="1">
        <v>33</v>
      </c>
      <c r="C44" s="1">
        <v>0.86</v>
      </c>
      <c r="D44" s="3">
        <v>0.77149999999999996</v>
      </c>
      <c r="E44" s="3">
        <v>9.0499999999999997E-2</v>
      </c>
      <c r="F44" s="3">
        <f t="shared" ca="1" si="0"/>
        <v>0.54477789215298122</v>
      </c>
    </row>
    <row r="45" spans="1:6" x14ac:dyDescent="0.25">
      <c r="A45" s="1" t="s">
        <v>49</v>
      </c>
      <c r="B45" s="1">
        <v>65</v>
      </c>
      <c r="C45" s="1">
        <v>1.19</v>
      </c>
      <c r="D45" s="3">
        <v>0.43209999999999998</v>
      </c>
      <c r="E45" s="3">
        <v>0.1065</v>
      </c>
      <c r="F45" s="3">
        <f t="shared" ca="1" si="0"/>
        <v>0.89874063025130735</v>
      </c>
    </row>
    <row r="46" spans="1:6" ht="22.5" x14ac:dyDescent="0.25">
      <c r="A46" s="1" t="s">
        <v>50</v>
      </c>
      <c r="B46" s="1">
        <v>101</v>
      </c>
      <c r="C46" s="1">
        <v>0.9</v>
      </c>
      <c r="D46" s="3">
        <v>0.1522</v>
      </c>
      <c r="E46" s="3">
        <v>0.08</v>
      </c>
      <c r="F46" s="3">
        <f t="shared" ca="1" si="0"/>
        <v>0.80779069245613255</v>
      </c>
    </row>
    <row r="47" spans="1:6" ht="22.5" x14ac:dyDescent="0.25">
      <c r="A47" s="1" t="s">
        <v>51</v>
      </c>
      <c r="B47" s="1">
        <v>16</v>
      </c>
      <c r="C47" s="1">
        <v>0.98</v>
      </c>
      <c r="D47" s="3">
        <v>0.35370000000000001</v>
      </c>
      <c r="E47" s="3">
        <v>0.1537</v>
      </c>
      <c r="F47" s="3">
        <f t="shared" ca="1" si="0"/>
        <v>0.77453518009918798</v>
      </c>
    </row>
    <row r="48" spans="1:6" ht="22.5" x14ac:dyDescent="0.25">
      <c r="A48" s="1" t="s">
        <v>52</v>
      </c>
      <c r="B48" s="1">
        <v>22</v>
      </c>
      <c r="C48" s="1">
        <v>0.76</v>
      </c>
      <c r="D48" s="3">
        <v>0.17349999999999999</v>
      </c>
      <c r="E48" s="3">
        <v>8.7800000000000003E-2</v>
      </c>
      <c r="F48" s="3">
        <f t="shared" ca="1" si="0"/>
        <v>0.67249198097555574</v>
      </c>
    </row>
    <row r="49" spans="1:6" x14ac:dyDescent="0.25">
      <c r="A49" s="1" t="s">
        <v>53</v>
      </c>
      <c r="B49" s="1">
        <v>19</v>
      </c>
      <c r="C49" s="1">
        <v>0.73</v>
      </c>
      <c r="D49" s="3">
        <v>0.62729999999999997</v>
      </c>
      <c r="E49" s="3">
        <v>0.14510000000000001</v>
      </c>
      <c r="F49" s="3">
        <f t="shared" ca="1" si="0"/>
        <v>0.49643822574338226</v>
      </c>
    </row>
    <row r="50" spans="1:6" ht="22.5" x14ac:dyDescent="0.25">
      <c r="A50" s="1" t="s">
        <v>54</v>
      </c>
      <c r="B50" s="1">
        <v>53</v>
      </c>
      <c r="C50" s="1">
        <v>0.61</v>
      </c>
      <c r="D50" s="3">
        <v>0.15459999999999999</v>
      </c>
      <c r="E50" s="3">
        <v>0.1605</v>
      </c>
      <c r="F50" s="3">
        <f t="shared" ca="1" si="0"/>
        <v>0.54661947219857521</v>
      </c>
    </row>
    <row r="51" spans="1:6" ht="33.75" x14ac:dyDescent="0.25">
      <c r="A51" s="1" t="s">
        <v>55</v>
      </c>
      <c r="B51" s="1">
        <v>231</v>
      </c>
      <c r="C51" s="1">
        <v>0.56999999999999995</v>
      </c>
      <c r="D51" s="3">
        <v>0.35039999999999999</v>
      </c>
      <c r="E51" s="3">
        <v>6.1899999999999997E-2</v>
      </c>
      <c r="F51" s="3">
        <f t="shared" ca="1" si="0"/>
        <v>0.45137789040228066</v>
      </c>
    </row>
    <row r="52" spans="1:6" x14ac:dyDescent="0.25">
      <c r="A52" s="1" t="s">
        <v>56</v>
      </c>
      <c r="B52" s="1">
        <v>109</v>
      </c>
      <c r="C52" s="1">
        <v>1.07</v>
      </c>
      <c r="D52" s="3">
        <v>0.157</v>
      </c>
      <c r="E52" s="3">
        <v>0.11219999999999999</v>
      </c>
      <c r="F52" s="3">
        <f t="shared" ca="1" si="0"/>
        <v>0.95728025050324317</v>
      </c>
    </row>
    <row r="53" spans="1:6" x14ac:dyDescent="0.25">
      <c r="A53" s="1" t="s">
        <v>57</v>
      </c>
      <c r="B53" s="1">
        <v>64</v>
      </c>
      <c r="C53" s="1">
        <v>1.02</v>
      </c>
      <c r="D53" s="3">
        <v>0.1676</v>
      </c>
      <c r="E53" s="3">
        <v>1.7999999999999999E-2</v>
      </c>
      <c r="F53" s="3">
        <f t="shared" ca="1" si="0"/>
        <v>0.9061028693257529</v>
      </c>
    </row>
    <row r="54" spans="1:6" ht="22.5" x14ac:dyDescent="0.25">
      <c r="A54" s="1" t="s">
        <v>58</v>
      </c>
      <c r="B54" s="1">
        <v>14</v>
      </c>
      <c r="C54" s="1">
        <v>1.2</v>
      </c>
      <c r="D54" s="3">
        <v>0.46510000000000001</v>
      </c>
      <c r="E54" s="3">
        <v>0.13450000000000001</v>
      </c>
      <c r="F54" s="3">
        <f t="shared" ca="1" si="0"/>
        <v>0.88966322539988507</v>
      </c>
    </row>
    <row r="55" spans="1:6" ht="22.5" x14ac:dyDescent="0.25">
      <c r="A55" s="1" t="s">
        <v>59</v>
      </c>
      <c r="B55" s="1">
        <v>4</v>
      </c>
      <c r="C55" s="1">
        <v>0.48</v>
      </c>
      <c r="D55" s="3">
        <v>0.1371</v>
      </c>
      <c r="E55" s="3">
        <v>0.25230000000000002</v>
      </c>
      <c r="F55" s="3">
        <f t="shared" ca="1" si="0"/>
        <v>0.4352458458957677</v>
      </c>
    </row>
    <row r="56" spans="1:6" ht="33.75" x14ac:dyDescent="0.25">
      <c r="A56" s="1" t="s">
        <v>60</v>
      </c>
      <c r="B56" s="1">
        <v>147</v>
      </c>
      <c r="C56" s="1">
        <v>0.88</v>
      </c>
      <c r="D56" s="3">
        <v>0.26650000000000001</v>
      </c>
      <c r="E56" s="3">
        <v>7.0999999999999994E-2</v>
      </c>
      <c r="F56" s="3">
        <f t="shared" ca="1" si="0"/>
        <v>0.73340973018022715</v>
      </c>
    </row>
    <row r="57" spans="1:6" ht="22.5" x14ac:dyDescent="0.25">
      <c r="A57" s="1" t="s">
        <v>61</v>
      </c>
      <c r="B57" s="1">
        <v>24</v>
      </c>
      <c r="C57" s="1">
        <v>0.75</v>
      </c>
      <c r="D57" s="3">
        <v>0.51539999999999997</v>
      </c>
      <c r="E57" s="3">
        <v>0.12479999999999999</v>
      </c>
      <c r="F57" s="3">
        <f t="shared" ca="1" si="0"/>
        <v>0.54091089394540404</v>
      </c>
    </row>
    <row r="58" spans="1:6" ht="22.5" x14ac:dyDescent="0.25">
      <c r="A58" s="1" t="s">
        <v>62</v>
      </c>
      <c r="B58" s="1">
        <v>97</v>
      </c>
      <c r="C58" s="1">
        <v>0.94</v>
      </c>
      <c r="D58" s="3">
        <v>0.38519999999999999</v>
      </c>
      <c r="E58" s="3">
        <v>9.0800000000000006E-2</v>
      </c>
      <c r="F58" s="3">
        <f t="shared" ca="1" si="0"/>
        <v>0.72930405772364026</v>
      </c>
    </row>
    <row r="59" spans="1:6" ht="22.5" x14ac:dyDescent="0.25">
      <c r="A59" s="1" t="s">
        <v>63</v>
      </c>
      <c r="B59" s="1">
        <v>22</v>
      </c>
      <c r="C59" s="1">
        <v>0.98</v>
      </c>
      <c r="D59" s="3">
        <v>0.52910000000000001</v>
      </c>
      <c r="E59" s="3">
        <v>0.1429</v>
      </c>
      <c r="F59" s="3">
        <f t="shared" ca="1" si="0"/>
        <v>0.70159110840656491</v>
      </c>
    </row>
    <row r="60" spans="1:6" ht="22.5" x14ac:dyDescent="0.25">
      <c r="A60" s="1" t="s">
        <v>64</v>
      </c>
      <c r="B60" s="1">
        <v>6</v>
      </c>
      <c r="C60" s="1">
        <v>1.07</v>
      </c>
      <c r="D60" s="3">
        <v>0.22570000000000001</v>
      </c>
      <c r="E60" s="3">
        <v>0.2369</v>
      </c>
      <c r="F60" s="3">
        <f t="shared" ca="1" si="0"/>
        <v>0.91509696179256372</v>
      </c>
    </row>
    <row r="61" spans="1:6" x14ac:dyDescent="0.25">
      <c r="A61" s="1" t="s">
        <v>65</v>
      </c>
      <c r="B61" s="1">
        <v>48</v>
      </c>
      <c r="C61" s="1">
        <v>0.54</v>
      </c>
      <c r="D61" s="3">
        <v>0.8034</v>
      </c>
      <c r="E61" s="3">
        <v>0.1211</v>
      </c>
      <c r="F61" s="3">
        <f t="shared" ca="1" si="0"/>
        <v>0.33696296527409447</v>
      </c>
    </row>
    <row r="62" spans="1:6" x14ac:dyDescent="0.25">
      <c r="A62" s="1" t="s">
        <v>66</v>
      </c>
      <c r="B62" s="1">
        <v>60</v>
      </c>
      <c r="C62" s="1">
        <v>1.23</v>
      </c>
      <c r="D62" s="3">
        <v>0.189</v>
      </c>
      <c r="E62" s="3">
        <v>1.9900000000000001E-2</v>
      </c>
      <c r="F62" s="3">
        <f t="shared" ca="1" si="0"/>
        <v>1.0772936282023209</v>
      </c>
    </row>
    <row r="63" spans="1:6" ht="22.5" x14ac:dyDescent="0.25">
      <c r="A63" s="1" t="s">
        <v>67</v>
      </c>
      <c r="B63" s="1">
        <v>19</v>
      </c>
      <c r="C63" s="1">
        <v>0.64</v>
      </c>
      <c r="D63" s="3">
        <v>0.28689999999999999</v>
      </c>
      <c r="E63" s="3">
        <v>9.7600000000000006E-2</v>
      </c>
      <c r="F63" s="3">
        <f t="shared" ca="1" si="0"/>
        <v>0.52667311292612184</v>
      </c>
    </row>
    <row r="64" spans="1:6" x14ac:dyDescent="0.25">
      <c r="A64" s="1" t="s">
        <v>68</v>
      </c>
      <c r="B64" s="1">
        <v>192</v>
      </c>
      <c r="C64" s="1">
        <v>0.95</v>
      </c>
      <c r="D64" s="3">
        <v>0.83489999999999998</v>
      </c>
      <c r="E64" s="3">
        <v>1.7999999999999999E-2</v>
      </c>
      <c r="F64" s="3">
        <f t="shared" ca="1" si="0"/>
        <v>0.58419296816148325</v>
      </c>
    </row>
    <row r="65" spans="1:6" ht="22.5" x14ac:dyDescent="0.25">
      <c r="A65" s="1" t="s">
        <v>69</v>
      </c>
      <c r="B65" s="1">
        <v>15</v>
      </c>
      <c r="C65" s="1">
        <v>1.03</v>
      </c>
      <c r="D65" s="3">
        <v>1.0871</v>
      </c>
      <c r="E65" s="3">
        <v>2.4899999999999999E-2</v>
      </c>
      <c r="F65" s="3">
        <f t="shared" ca="1" si="0"/>
        <v>0.56739151391624087</v>
      </c>
    </row>
    <row r="66" spans="1:6" ht="33.75" x14ac:dyDescent="0.25">
      <c r="A66" s="1" t="s">
        <v>70</v>
      </c>
      <c r="B66" s="1">
        <v>11</v>
      </c>
      <c r="C66" s="1">
        <v>0.86</v>
      </c>
      <c r="D66" s="3">
        <v>0.4194</v>
      </c>
      <c r="E66" s="3">
        <v>5.45E-2</v>
      </c>
      <c r="F66" s="3">
        <f t="shared" ca="1" si="0"/>
        <v>0.6542162717279677</v>
      </c>
    </row>
    <row r="67" spans="1:6" ht="33.75" x14ac:dyDescent="0.25">
      <c r="A67" s="1" t="s">
        <v>71</v>
      </c>
      <c r="B67" s="1">
        <v>60</v>
      </c>
      <c r="C67" s="1">
        <v>1.08</v>
      </c>
      <c r="D67" s="3">
        <v>0.28789999999999999</v>
      </c>
      <c r="E67" s="3">
        <v>4.2599999999999999E-2</v>
      </c>
      <c r="F67" s="3">
        <f t="shared" ref="F67:F97" ca="1" si="1">IF($F$8="Effective",C67/(1+(1-E67)*D67),C67/(1+(1-$F$9)*D67))</f>
        <v>0.88821267759113443</v>
      </c>
    </row>
    <row r="68" spans="1:6" x14ac:dyDescent="0.25">
      <c r="A68" s="1" t="s">
        <v>72</v>
      </c>
      <c r="B68" s="1">
        <v>50</v>
      </c>
      <c r="C68" s="1">
        <v>1.33</v>
      </c>
      <c r="D68" s="3">
        <v>0.65100000000000002</v>
      </c>
      <c r="E68" s="3">
        <v>7.3300000000000004E-2</v>
      </c>
      <c r="F68" s="3">
        <f t="shared" ca="1" si="1"/>
        <v>0.8936670586259029</v>
      </c>
    </row>
    <row r="69" spans="1:6" x14ac:dyDescent="0.25">
      <c r="A69" s="1" t="s">
        <v>73</v>
      </c>
      <c r="B69" s="1">
        <v>1</v>
      </c>
      <c r="C69" s="1">
        <v>0.54</v>
      </c>
      <c r="D69" s="3">
        <v>0.36580000000000001</v>
      </c>
      <c r="E69" s="3">
        <v>0.20130000000000001</v>
      </c>
      <c r="F69" s="3">
        <f t="shared" ca="1" si="1"/>
        <v>0.42374543885117905</v>
      </c>
    </row>
    <row r="70" spans="1:6" x14ac:dyDescent="0.25">
      <c r="A70" s="1" t="s">
        <v>74</v>
      </c>
      <c r="B70" s="1">
        <v>62</v>
      </c>
      <c r="C70" s="1">
        <v>1.01</v>
      </c>
      <c r="D70" s="3">
        <v>0.23139999999999999</v>
      </c>
      <c r="E70" s="3">
        <v>8.8400000000000006E-2</v>
      </c>
      <c r="F70" s="3">
        <f t="shared" ca="1" si="1"/>
        <v>0.86063653018618713</v>
      </c>
    </row>
    <row r="71" spans="1:6" ht="22.5" x14ac:dyDescent="0.25">
      <c r="A71" s="1" t="s">
        <v>75</v>
      </c>
      <c r="B71" s="1">
        <v>29</v>
      </c>
      <c r="C71" s="1">
        <v>1.35</v>
      </c>
      <c r="D71" s="3">
        <v>0.504</v>
      </c>
      <c r="E71" s="3">
        <v>0.1212</v>
      </c>
      <c r="F71" s="3">
        <f t="shared" ca="1" si="1"/>
        <v>0.97968069666182878</v>
      </c>
    </row>
    <row r="72" spans="1:6" ht="22.5" x14ac:dyDescent="0.25">
      <c r="A72" s="1" t="s">
        <v>76</v>
      </c>
      <c r="B72" s="1">
        <v>13</v>
      </c>
      <c r="C72" s="1">
        <v>1.79</v>
      </c>
      <c r="D72" s="3">
        <v>0.2019</v>
      </c>
      <c r="E72" s="3">
        <v>0.1366</v>
      </c>
      <c r="F72" s="3">
        <f t="shared" ca="1" si="1"/>
        <v>1.5545953926656102</v>
      </c>
    </row>
    <row r="73" spans="1:6" ht="22.5" x14ac:dyDescent="0.25">
      <c r="A73" s="1" t="s">
        <v>77</v>
      </c>
      <c r="B73" s="1">
        <v>66</v>
      </c>
      <c r="C73" s="1">
        <v>1.1200000000000001</v>
      </c>
      <c r="D73" s="3">
        <v>0.31269999999999998</v>
      </c>
      <c r="E73" s="3">
        <v>0.13500000000000001</v>
      </c>
      <c r="F73" s="3">
        <f t="shared" ca="1" si="1"/>
        <v>0.90723152629553883</v>
      </c>
    </row>
    <row r="74" spans="1:6" x14ac:dyDescent="0.25">
      <c r="A74" s="1" t="s">
        <v>78</v>
      </c>
      <c r="B74" s="1">
        <v>24</v>
      </c>
      <c r="C74" s="1">
        <v>1.06</v>
      </c>
      <c r="D74" s="3">
        <v>8.7300000000000003E-2</v>
      </c>
      <c r="E74" s="3">
        <v>0.16750000000000001</v>
      </c>
      <c r="F74" s="3">
        <f t="shared" ca="1" si="1"/>
        <v>0.99486144677256627</v>
      </c>
    </row>
    <row r="75" spans="1:6" ht="22.5" x14ac:dyDescent="0.25">
      <c r="A75" s="1" t="s">
        <v>79</v>
      </c>
      <c r="B75" s="1">
        <v>17</v>
      </c>
      <c r="C75" s="1">
        <v>0.57999999999999996</v>
      </c>
      <c r="D75" s="3">
        <v>0.52259999999999995</v>
      </c>
      <c r="E75" s="3">
        <v>0.1328</v>
      </c>
      <c r="F75" s="3">
        <f t="shared" ca="1" si="1"/>
        <v>0.41668163367937061</v>
      </c>
    </row>
    <row r="76" spans="1:6" x14ac:dyDescent="0.25">
      <c r="A76" s="1" t="s">
        <v>80</v>
      </c>
      <c r="B76" s="1">
        <v>28</v>
      </c>
      <c r="C76" s="1">
        <v>0.95</v>
      </c>
      <c r="D76" s="3">
        <v>0.54769999999999996</v>
      </c>
      <c r="E76" s="3">
        <v>1.1900000000000001E-2</v>
      </c>
      <c r="F76" s="3">
        <f t="shared" ca="1" si="1"/>
        <v>0.67338874023143303</v>
      </c>
    </row>
    <row r="77" spans="1:6" ht="22.5" x14ac:dyDescent="0.25">
      <c r="A77" s="1" t="s">
        <v>81</v>
      </c>
      <c r="B77" s="1">
        <v>98</v>
      </c>
      <c r="C77" s="1">
        <v>1.22</v>
      </c>
      <c r="D77" s="3">
        <v>0.2893</v>
      </c>
      <c r="E77" s="3">
        <v>8.2299999999999998E-2</v>
      </c>
      <c r="F77" s="3">
        <f t="shared" ca="1" si="1"/>
        <v>1.0024856714394297</v>
      </c>
    </row>
    <row r="78" spans="1:6" x14ac:dyDescent="0.25">
      <c r="A78" s="1" t="s">
        <v>82</v>
      </c>
      <c r="B78" s="1">
        <v>3</v>
      </c>
      <c r="C78" s="1">
        <v>0.65</v>
      </c>
      <c r="D78" s="3">
        <v>3.8713000000000002</v>
      </c>
      <c r="E78" s="3">
        <v>0</v>
      </c>
      <c r="F78" s="3">
        <f t="shared" ca="1" si="1"/>
        <v>0.16651829459648135</v>
      </c>
    </row>
    <row r="79" spans="1:6" x14ac:dyDescent="0.25">
      <c r="A79" s="1" t="s">
        <v>83</v>
      </c>
      <c r="B79" s="1">
        <v>63</v>
      </c>
      <c r="C79" s="1">
        <v>1.49</v>
      </c>
      <c r="D79" s="3">
        <v>3.8899999999999997E-2</v>
      </c>
      <c r="E79" s="3">
        <v>4.19E-2</v>
      </c>
      <c r="F79" s="3">
        <f t="shared" ca="1" si="1"/>
        <v>1.4477615565865865</v>
      </c>
    </row>
    <row r="80" spans="1:6" ht="22.5" x14ac:dyDescent="0.25">
      <c r="A80" s="1" t="s">
        <v>84</v>
      </c>
      <c r="B80" s="1">
        <v>30</v>
      </c>
      <c r="C80" s="1">
        <v>1.48</v>
      </c>
      <c r="D80" s="3">
        <v>8.1799999999999998E-2</v>
      </c>
      <c r="E80" s="3">
        <v>9.9500000000000005E-2</v>
      </c>
      <c r="F80" s="3">
        <f t="shared" ca="1" si="1"/>
        <v>1.3944504640316577</v>
      </c>
    </row>
    <row r="81" spans="1:6" ht="22.5" x14ac:dyDescent="0.25">
      <c r="A81" s="1" t="s">
        <v>85</v>
      </c>
      <c r="B81" s="1">
        <v>8</v>
      </c>
      <c r="C81" s="1">
        <v>0.57999999999999996</v>
      </c>
      <c r="D81" s="3">
        <v>0.19109999999999999</v>
      </c>
      <c r="E81" s="3">
        <v>5.7799999999999997E-2</v>
      </c>
      <c r="F81" s="3">
        <f t="shared" ca="1" si="1"/>
        <v>0.507292327203551</v>
      </c>
    </row>
    <row r="82" spans="1:6" x14ac:dyDescent="0.25">
      <c r="A82" s="1" t="s">
        <v>86</v>
      </c>
      <c r="B82" s="1">
        <v>12</v>
      </c>
      <c r="C82" s="1">
        <v>1.42</v>
      </c>
      <c r="D82" s="3">
        <v>0.10249999999999999</v>
      </c>
      <c r="E82" s="3">
        <v>0.1106</v>
      </c>
      <c r="F82" s="3">
        <f t="shared" ca="1" si="1"/>
        <v>1.3186302959953569</v>
      </c>
    </row>
    <row r="83" spans="1:6" ht="22.5" x14ac:dyDescent="0.25">
      <c r="A83" s="1" t="s">
        <v>87</v>
      </c>
      <c r="B83" s="1">
        <v>81</v>
      </c>
      <c r="C83" s="1">
        <v>1.18</v>
      </c>
      <c r="D83" s="3">
        <v>2.4899999999999999E-2</v>
      </c>
      <c r="E83" s="3">
        <v>6.7299999999999999E-2</v>
      </c>
      <c r="F83" s="3">
        <f t="shared" ca="1" si="1"/>
        <v>1.15836748717697</v>
      </c>
    </row>
    <row r="84" spans="1:6" ht="22.5" x14ac:dyDescent="0.25">
      <c r="A84" s="1" t="s">
        <v>88</v>
      </c>
      <c r="B84" s="1">
        <v>29</v>
      </c>
      <c r="C84" s="1">
        <v>1.69</v>
      </c>
      <c r="D84" s="3">
        <v>0.1154</v>
      </c>
      <c r="E84" s="3">
        <v>2.18E-2</v>
      </c>
      <c r="F84" s="3">
        <f t="shared" ca="1" si="1"/>
        <v>1.5553817127605725</v>
      </c>
    </row>
    <row r="85" spans="1:6" ht="22.5" x14ac:dyDescent="0.25">
      <c r="A85" s="1" t="s">
        <v>89</v>
      </c>
      <c r="B85" s="1">
        <v>333</v>
      </c>
      <c r="C85" s="1">
        <v>1.24</v>
      </c>
      <c r="D85" s="3">
        <v>4.9000000000000002E-2</v>
      </c>
      <c r="E85" s="3">
        <v>4.4400000000000002E-2</v>
      </c>
      <c r="F85" s="3">
        <f t="shared" ca="1" si="1"/>
        <v>1.1960453339763684</v>
      </c>
    </row>
    <row r="86" spans="1:6" x14ac:dyDescent="0.25">
      <c r="A86" s="1" t="s">
        <v>90</v>
      </c>
      <c r="B86" s="1">
        <v>27</v>
      </c>
      <c r="C86" s="1">
        <v>1.06</v>
      </c>
      <c r="D86" s="3">
        <v>0.25900000000000001</v>
      </c>
      <c r="E86" s="3">
        <v>0.1176</v>
      </c>
      <c r="F86" s="3">
        <f t="shared" ca="1" si="1"/>
        <v>0.88758635126648522</v>
      </c>
    </row>
    <row r="87" spans="1:6" ht="22.5" x14ac:dyDescent="0.25">
      <c r="A87" s="1" t="s">
        <v>91</v>
      </c>
      <c r="B87" s="1">
        <v>11</v>
      </c>
      <c r="C87" s="1">
        <v>0.77</v>
      </c>
      <c r="D87" s="3">
        <v>0.47610000000000002</v>
      </c>
      <c r="E87" s="3">
        <v>0.14899999999999999</v>
      </c>
      <c r="F87" s="3">
        <f t="shared" ca="1" si="1"/>
        <v>0.56739679089217621</v>
      </c>
    </row>
    <row r="88" spans="1:6" ht="22.5" x14ac:dyDescent="0.25">
      <c r="A88" s="1" t="s">
        <v>92</v>
      </c>
      <c r="B88" s="1">
        <v>61</v>
      </c>
      <c r="C88" s="1">
        <v>1</v>
      </c>
      <c r="D88" s="3">
        <v>0.128</v>
      </c>
      <c r="E88" s="3">
        <v>4.3499999999999997E-2</v>
      </c>
      <c r="F88" s="3">
        <f t="shared" ca="1" si="1"/>
        <v>0.91240875912408748</v>
      </c>
    </row>
    <row r="89" spans="1:6" x14ac:dyDescent="0.25">
      <c r="A89" s="1" t="s">
        <v>93</v>
      </c>
      <c r="B89" s="1">
        <v>32</v>
      </c>
      <c r="C89" s="1">
        <v>0.89</v>
      </c>
      <c r="D89" s="3">
        <v>1.0017</v>
      </c>
      <c r="E89" s="3">
        <v>3.6499999999999998E-2</v>
      </c>
      <c r="F89" s="3">
        <f t="shared" ca="1" si="1"/>
        <v>0.5082011677206606</v>
      </c>
    </row>
    <row r="90" spans="1:6" x14ac:dyDescent="0.25">
      <c r="A90" s="1" t="s">
        <v>94</v>
      </c>
      <c r="B90" s="1">
        <v>12</v>
      </c>
      <c r="C90" s="1">
        <v>0.98</v>
      </c>
      <c r="D90" s="3">
        <v>0.27960000000000002</v>
      </c>
      <c r="E90" s="3">
        <v>0.125</v>
      </c>
      <c r="F90" s="3">
        <f t="shared" ca="1" si="1"/>
        <v>0.81011821112672566</v>
      </c>
    </row>
    <row r="91" spans="1:6" x14ac:dyDescent="0.25">
      <c r="A91" s="1" t="s">
        <v>95</v>
      </c>
      <c r="B91" s="1">
        <v>21</v>
      </c>
      <c r="C91" s="1">
        <v>1.03</v>
      </c>
      <c r="D91" s="3">
        <v>0.3871</v>
      </c>
      <c r="E91" s="3">
        <v>0.11899999999999999</v>
      </c>
      <c r="F91" s="3">
        <f t="shared" ca="1" si="1"/>
        <v>0.79824850328405639</v>
      </c>
    </row>
    <row r="92" spans="1:6" ht="22.5" x14ac:dyDescent="0.25">
      <c r="A92" s="1" t="s">
        <v>96</v>
      </c>
      <c r="B92" s="1">
        <v>4</v>
      </c>
      <c r="C92" s="1">
        <v>0.99</v>
      </c>
      <c r="D92" s="3">
        <v>0.28389999999999999</v>
      </c>
      <c r="E92" s="3">
        <v>0.1714</v>
      </c>
      <c r="F92" s="3">
        <f t="shared" ca="1" si="1"/>
        <v>0.8162087515716141</v>
      </c>
    </row>
    <row r="93" spans="1:6" x14ac:dyDescent="0.25">
      <c r="A93" s="1" t="s">
        <v>97</v>
      </c>
      <c r="B93" s="1">
        <v>24</v>
      </c>
      <c r="C93" s="1">
        <v>1.1000000000000001</v>
      </c>
      <c r="D93" s="3">
        <v>0.22919999999999999</v>
      </c>
      <c r="E93" s="3">
        <v>0.186</v>
      </c>
      <c r="F93" s="3">
        <f t="shared" ca="1" si="1"/>
        <v>0.93864664220496641</v>
      </c>
    </row>
    <row r="94" spans="1:6" x14ac:dyDescent="0.25">
      <c r="A94" s="1" t="s">
        <v>98</v>
      </c>
      <c r="B94" s="1">
        <v>14</v>
      </c>
      <c r="C94" s="1">
        <v>0.39</v>
      </c>
      <c r="D94" s="3">
        <v>0.78059999999999996</v>
      </c>
      <c r="E94" s="3">
        <v>0.1065</v>
      </c>
      <c r="F94" s="3">
        <f t="shared" ca="1" si="1"/>
        <v>0.2459869437699076</v>
      </c>
    </row>
    <row r="95" spans="1:6" x14ac:dyDescent="0.25">
      <c r="A95" s="1" t="s">
        <v>99</v>
      </c>
      <c r="B95" s="1">
        <v>15</v>
      </c>
      <c r="C95" s="1">
        <v>0.68</v>
      </c>
      <c r="D95" s="3">
        <v>0.58640000000000003</v>
      </c>
      <c r="E95" s="3">
        <v>0.11360000000000001</v>
      </c>
      <c r="F95" s="3">
        <f t="shared" ca="1" si="1"/>
        <v>0.47228781775246564</v>
      </c>
    </row>
    <row r="96" spans="1:6" x14ac:dyDescent="0.25">
      <c r="A96" s="1" t="s">
        <v>100</v>
      </c>
      <c r="B96" s="1">
        <v>6062</v>
      </c>
      <c r="C96" s="1">
        <v>1</v>
      </c>
      <c r="D96" s="3">
        <v>0.39179999999999998</v>
      </c>
      <c r="E96" s="3">
        <v>8.0299999999999996E-2</v>
      </c>
      <c r="F96" s="3">
        <f t="shared" ca="1" si="1"/>
        <v>0.772887119836148</v>
      </c>
    </row>
    <row r="97" spans="1:6" ht="33.75" x14ac:dyDescent="0.25">
      <c r="A97" s="1" t="s">
        <v>101</v>
      </c>
      <c r="B97" s="1">
        <v>4935</v>
      </c>
      <c r="C97" s="1">
        <v>1.0900000000000001</v>
      </c>
      <c r="D97" s="3">
        <v>0.19289999999999999</v>
      </c>
      <c r="E97" s="3">
        <v>6.7500000000000004E-2</v>
      </c>
      <c r="F97" s="3">
        <f t="shared" ca="1" si="1"/>
        <v>0.9522353506453799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Guimaraes</dc:creator>
  <cp:lastModifiedBy>Ricardo Guimaraes</cp:lastModifiedBy>
  <dcterms:created xsi:type="dcterms:W3CDTF">2025-12-11T14:01:10Z</dcterms:created>
  <dcterms:modified xsi:type="dcterms:W3CDTF">2025-12-11T14:09:55Z</dcterms:modified>
</cp:coreProperties>
</file>