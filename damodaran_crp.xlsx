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c4314e3df45ea989/Documents/"/>
    </mc:Choice>
  </mc:AlternateContent>
  <xr:revisionPtr revIDLastSave="16" documentId="11_AD4D361C20488DEA4E38A00A745B4DEA5BDEDD84" xr6:coauthVersionLast="47" xr6:coauthVersionMax="47" xr10:uidLastSave="{A1BE2DAB-35E4-4C75-B166-2AF5CE250815}"/>
  <bookViews>
    <workbookView xWindow="-120" yWindow="-120" windowWidth="20730" windowHeight="11040" xr2:uid="{00000000-000D-0000-FFFF-FFFF00000000}"/>
  </bookViews>
  <sheets>
    <sheet name="Plan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8" i="1" l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F103" i="1"/>
  <c r="E103" i="1"/>
  <c r="C103" i="1"/>
  <c r="B103" i="1"/>
  <c r="D103" i="1" s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F158" i="1" l="1"/>
  <c r="E158" i="1"/>
  <c r="C158" i="1"/>
  <c r="B158" i="1"/>
  <c r="D158" i="1" s="1"/>
  <c r="F157" i="1"/>
  <c r="C157" i="1"/>
  <c r="E157" i="1"/>
  <c r="B157" i="1"/>
  <c r="D157" i="1" s="1"/>
  <c r="C156" i="1"/>
  <c r="B156" i="1"/>
  <c r="D156" i="1" s="1"/>
  <c r="F156" i="1"/>
  <c r="E156" i="1"/>
  <c r="F155" i="1"/>
  <c r="E155" i="1"/>
  <c r="B155" i="1"/>
  <c r="D155" i="1" s="1"/>
  <c r="C155" i="1"/>
  <c r="B154" i="1"/>
  <c r="D154" i="1" s="1"/>
  <c r="C154" i="1"/>
  <c r="E154" i="1"/>
  <c r="F154" i="1"/>
  <c r="F153" i="1"/>
  <c r="E153" i="1"/>
  <c r="C153" i="1"/>
  <c r="B153" i="1"/>
  <c r="D153" i="1" s="1"/>
  <c r="F152" i="1"/>
  <c r="E152" i="1"/>
  <c r="C152" i="1"/>
  <c r="B152" i="1"/>
  <c r="D152" i="1" s="1"/>
  <c r="E151" i="1"/>
  <c r="B151" i="1"/>
  <c r="D151" i="1" s="1"/>
  <c r="C151" i="1"/>
  <c r="F151" i="1"/>
  <c r="F150" i="1"/>
  <c r="E150" i="1"/>
  <c r="C150" i="1"/>
  <c r="B150" i="1"/>
  <c r="D150" i="1" s="1"/>
  <c r="B149" i="1"/>
  <c r="D149" i="1" s="1"/>
  <c r="F149" i="1"/>
  <c r="E149" i="1"/>
  <c r="C149" i="1"/>
  <c r="F148" i="1"/>
  <c r="E148" i="1"/>
  <c r="C148" i="1"/>
  <c r="B148" i="1"/>
  <c r="D148" i="1" s="1"/>
  <c r="E147" i="1"/>
  <c r="F147" i="1"/>
  <c r="B147" i="1"/>
  <c r="D147" i="1" s="1"/>
  <c r="C147" i="1"/>
  <c r="F146" i="1"/>
  <c r="B146" i="1"/>
  <c r="D146" i="1" s="1"/>
  <c r="C146" i="1"/>
  <c r="E146" i="1"/>
  <c r="E145" i="1"/>
  <c r="C145" i="1"/>
  <c r="B145" i="1"/>
  <c r="D145" i="1" s="1"/>
  <c r="F145" i="1"/>
  <c r="C144" i="1"/>
  <c r="B144" i="1"/>
  <c r="D144" i="1" s="1"/>
  <c r="E144" i="1"/>
  <c r="F144" i="1"/>
  <c r="F143" i="1"/>
  <c r="E143" i="1"/>
  <c r="C143" i="1"/>
  <c r="B143" i="1"/>
  <c r="D143" i="1" s="1"/>
  <c r="F142" i="1"/>
  <c r="E142" i="1"/>
  <c r="C142" i="1"/>
  <c r="B142" i="1"/>
  <c r="D142" i="1" s="1"/>
  <c r="E141" i="1"/>
  <c r="C141" i="1"/>
  <c r="B141" i="1"/>
  <c r="D141" i="1" s="1"/>
  <c r="F141" i="1"/>
  <c r="B140" i="1"/>
  <c r="D140" i="1" s="1"/>
  <c r="F140" i="1"/>
  <c r="E140" i="1"/>
  <c r="C140" i="1"/>
  <c r="F139" i="1"/>
  <c r="B139" i="1"/>
  <c r="D139" i="1" s="1"/>
  <c r="C139" i="1"/>
  <c r="E139" i="1"/>
  <c r="B138" i="1"/>
  <c r="D138" i="1" s="1"/>
  <c r="F138" i="1"/>
  <c r="E138" i="1"/>
  <c r="C138" i="1"/>
  <c r="F137" i="1"/>
  <c r="E137" i="1"/>
  <c r="C137" i="1"/>
  <c r="B137" i="1"/>
  <c r="D137" i="1" s="1"/>
  <c r="C136" i="1"/>
  <c r="F136" i="1"/>
  <c r="B136" i="1"/>
  <c r="D136" i="1" s="1"/>
  <c r="E136" i="1"/>
  <c r="E135" i="1"/>
  <c r="F135" i="1"/>
  <c r="B135" i="1"/>
  <c r="D135" i="1" s="1"/>
  <c r="C135" i="1"/>
  <c r="E134" i="1"/>
  <c r="C134" i="1"/>
  <c r="B134" i="1"/>
  <c r="D134" i="1" s="1"/>
  <c r="F134" i="1"/>
  <c r="F133" i="1"/>
  <c r="E133" i="1"/>
  <c r="B133" i="1"/>
  <c r="D133" i="1" s="1"/>
  <c r="C133" i="1"/>
  <c r="E132" i="1"/>
  <c r="C132" i="1"/>
  <c r="B132" i="1"/>
  <c r="D132" i="1" s="1"/>
  <c r="F132" i="1"/>
  <c r="C131" i="1"/>
  <c r="E131" i="1"/>
  <c r="F131" i="1"/>
  <c r="B131" i="1"/>
  <c r="D131" i="1" s="1"/>
  <c r="B130" i="1"/>
  <c r="D130" i="1" s="1"/>
  <c r="C130" i="1"/>
  <c r="E130" i="1"/>
  <c r="F130" i="1"/>
  <c r="F129" i="1"/>
  <c r="E129" i="1"/>
  <c r="C129" i="1"/>
  <c r="B129" i="1"/>
  <c r="D129" i="1" s="1"/>
  <c r="B128" i="1"/>
  <c r="D128" i="1" s="1"/>
  <c r="C128" i="1"/>
  <c r="E128" i="1"/>
  <c r="F128" i="1"/>
  <c r="F127" i="1"/>
  <c r="E127" i="1"/>
  <c r="C127" i="1"/>
  <c r="B127" i="1"/>
  <c r="D127" i="1" s="1"/>
  <c r="F126" i="1"/>
  <c r="E126" i="1"/>
  <c r="C126" i="1"/>
  <c r="B126" i="1"/>
  <c r="D126" i="1" s="1"/>
  <c r="C125" i="1"/>
  <c r="E125" i="1"/>
  <c r="F125" i="1"/>
  <c r="B125" i="1"/>
  <c r="D125" i="1" s="1"/>
  <c r="E124" i="1"/>
  <c r="F124" i="1"/>
  <c r="C124" i="1"/>
  <c r="B124" i="1"/>
  <c r="D124" i="1" s="1"/>
  <c r="C123" i="1"/>
  <c r="B123" i="1"/>
  <c r="D123" i="1" s="1"/>
  <c r="F123" i="1"/>
  <c r="E123" i="1"/>
  <c r="C122" i="1"/>
  <c r="F122" i="1"/>
  <c r="E122" i="1"/>
  <c r="B122" i="1"/>
  <c r="D122" i="1" s="1"/>
  <c r="B121" i="1"/>
  <c r="D121" i="1" s="1"/>
  <c r="E121" i="1"/>
  <c r="F121" i="1"/>
  <c r="C121" i="1"/>
  <c r="C120" i="1"/>
  <c r="E120" i="1"/>
  <c r="F120" i="1"/>
  <c r="B120" i="1"/>
  <c r="D120" i="1" s="1"/>
  <c r="F119" i="1"/>
  <c r="E119" i="1"/>
  <c r="C119" i="1"/>
  <c r="B119" i="1"/>
  <c r="D119" i="1" s="1"/>
  <c r="F118" i="1"/>
  <c r="C118" i="1"/>
  <c r="B118" i="1"/>
  <c r="D118" i="1" s="1"/>
  <c r="E118" i="1"/>
  <c r="B117" i="1"/>
  <c r="D117" i="1" s="1"/>
  <c r="C117" i="1"/>
  <c r="E117" i="1"/>
  <c r="F117" i="1"/>
  <c r="C116" i="1"/>
  <c r="E116" i="1"/>
  <c r="B116" i="1"/>
  <c r="D116" i="1" s="1"/>
  <c r="F116" i="1"/>
  <c r="F115" i="1"/>
  <c r="E115" i="1"/>
  <c r="C115" i="1"/>
  <c r="B115" i="1"/>
  <c r="D115" i="1" s="1"/>
  <c r="F114" i="1"/>
  <c r="B114" i="1"/>
  <c r="D114" i="1" s="1"/>
  <c r="C114" i="1"/>
  <c r="E114" i="1"/>
  <c r="C113" i="1"/>
  <c r="B113" i="1"/>
  <c r="D113" i="1" s="1"/>
  <c r="E113" i="1"/>
  <c r="F113" i="1"/>
  <c r="E112" i="1"/>
  <c r="B112" i="1"/>
  <c r="D112" i="1" s="1"/>
  <c r="F112" i="1"/>
  <c r="C112" i="1"/>
  <c r="E111" i="1"/>
  <c r="F111" i="1"/>
  <c r="B111" i="1"/>
  <c r="D111" i="1" s="1"/>
  <c r="C111" i="1"/>
  <c r="E110" i="1"/>
  <c r="B110" i="1"/>
  <c r="D110" i="1" s="1"/>
  <c r="F110" i="1"/>
  <c r="C110" i="1"/>
  <c r="E109" i="1"/>
  <c r="C109" i="1"/>
  <c r="B109" i="1"/>
  <c r="D109" i="1" s="1"/>
  <c r="F109" i="1"/>
  <c r="F108" i="1"/>
  <c r="E108" i="1"/>
  <c r="B108" i="1"/>
  <c r="D108" i="1" s="1"/>
  <c r="C108" i="1"/>
  <c r="F107" i="1"/>
  <c r="C107" i="1"/>
  <c r="B107" i="1"/>
  <c r="D107" i="1" s="1"/>
  <c r="E107" i="1"/>
  <c r="F106" i="1"/>
  <c r="E106" i="1"/>
  <c r="C106" i="1"/>
  <c r="B106" i="1"/>
  <c r="D106" i="1" s="1"/>
  <c r="F105" i="1"/>
  <c r="E105" i="1"/>
  <c r="B105" i="1"/>
  <c r="D105" i="1" s="1"/>
  <c r="C105" i="1"/>
  <c r="B104" i="1"/>
  <c r="D104" i="1" s="1"/>
  <c r="E104" i="1"/>
  <c r="F104" i="1"/>
  <c r="C104" i="1"/>
  <c r="B102" i="1"/>
  <c r="D102" i="1" s="1"/>
  <c r="F102" i="1"/>
  <c r="E102" i="1"/>
  <c r="C102" i="1"/>
  <c r="C101" i="1"/>
  <c r="E101" i="1"/>
  <c r="F101" i="1"/>
  <c r="B101" i="1"/>
  <c r="D101" i="1" s="1"/>
  <c r="F100" i="1"/>
  <c r="E100" i="1"/>
  <c r="B100" i="1"/>
  <c r="D100" i="1" s="1"/>
  <c r="C100" i="1"/>
  <c r="F99" i="1"/>
  <c r="B99" i="1"/>
  <c r="D99" i="1" s="1"/>
  <c r="E99" i="1"/>
  <c r="C99" i="1"/>
  <c r="B98" i="1"/>
  <c r="D98" i="1" s="1"/>
  <c r="C98" i="1"/>
  <c r="F98" i="1"/>
  <c r="E98" i="1"/>
  <c r="E97" i="1"/>
  <c r="F97" i="1"/>
  <c r="C97" i="1"/>
  <c r="B97" i="1"/>
  <c r="D97" i="1" s="1"/>
  <c r="F96" i="1"/>
  <c r="E96" i="1"/>
  <c r="C96" i="1"/>
  <c r="B96" i="1"/>
  <c r="D96" i="1" s="1"/>
  <c r="B95" i="1"/>
  <c r="D95" i="1" s="1"/>
  <c r="F95" i="1"/>
  <c r="E95" i="1"/>
  <c r="C95" i="1"/>
  <c r="C94" i="1"/>
  <c r="F94" i="1"/>
  <c r="E94" i="1"/>
  <c r="B94" i="1"/>
  <c r="D94" i="1" s="1"/>
  <c r="E93" i="1"/>
  <c r="C93" i="1"/>
  <c r="B93" i="1"/>
  <c r="D93" i="1" s="1"/>
  <c r="F93" i="1"/>
  <c r="F92" i="1"/>
  <c r="E92" i="1"/>
  <c r="C92" i="1"/>
  <c r="B92" i="1"/>
  <c r="D92" i="1" s="1"/>
  <c r="C91" i="1"/>
  <c r="F91" i="1"/>
  <c r="E91" i="1"/>
  <c r="B91" i="1"/>
  <c r="D91" i="1" s="1"/>
  <c r="C90" i="1"/>
  <c r="F90" i="1"/>
  <c r="E90" i="1"/>
  <c r="B90" i="1"/>
  <c r="D90" i="1" s="1"/>
  <c r="F89" i="1"/>
  <c r="E89" i="1"/>
  <c r="C89" i="1"/>
  <c r="B89" i="1"/>
  <c r="D89" i="1" s="1"/>
  <c r="B88" i="1"/>
  <c r="D88" i="1" s="1"/>
  <c r="F88" i="1"/>
  <c r="E88" i="1"/>
  <c r="C88" i="1"/>
  <c r="B87" i="1"/>
  <c r="D87" i="1" s="1"/>
  <c r="F87" i="1"/>
  <c r="E87" i="1"/>
  <c r="C87" i="1"/>
  <c r="B86" i="1"/>
  <c r="D86" i="1" s="1"/>
  <c r="C86" i="1"/>
  <c r="F86" i="1"/>
  <c r="E86" i="1"/>
  <c r="B85" i="1"/>
  <c r="D85" i="1" s="1"/>
  <c r="E85" i="1"/>
  <c r="F85" i="1"/>
  <c r="C85" i="1"/>
  <c r="B84" i="1"/>
  <c r="D84" i="1" s="1"/>
  <c r="C84" i="1"/>
  <c r="E84" i="1"/>
  <c r="F84" i="1"/>
  <c r="E83" i="1"/>
  <c r="B83" i="1"/>
  <c r="D83" i="1" s="1"/>
  <c r="C83" i="1"/>
  <c r="F83" i="1"/>
  <c r="C82" i="1"/>
  <c r="B82" i="1"/>
  <c r="D82" i="1" s="1"/>
  <c r="F82" i="1"/>
  <c r="E82" i="1"/>
  <c r="F81" i="1"/>
  <c r="E81" i="1"/>
  <c r="C81" i="1"/>
  <c r="B81" i="1"/>
  <c r="D81" i="1" s="1"/>
  <c r="B80" i="1"/>
  <c r="D80" i="1" s="1"/>
  <c r="E80" i="1"/>
  <c r="F80" i="1"/>
  <c r="C80" i="1"/>
  <c r="B79" i="1"/>
  <c r="D79" i="1" s="1"/>
  <c r="E79" i="1"/>
  <c r="F79" i="1"/>
  <c r="C79" i="1"/>
  <c r="B78" i="1"/>
  <c r="D78" i="1" s="1"/>
  <c r="C78" i="1"/>
  <c r="E78" i="1"/>
  <c r="F78" i="1"/>
  <c r="F77" i="1"/>
  <c r="E77" i="1"/>
  <c r="C77" i="1"/>
  <c r="B77" i="1"/>
  <c r="D77" i="1" s="1"/>
  <c r="F76" i="1"/>
  <c r="E76" i="1"/>
  <c r="C76" i="1"/>
  <c r="B76" i="1"/>
  <c r="D76" i="1" s="1"/>
  <c r="B75" i="1"/>
  <c r="D75" i="1" s="1"/>
  <c r="F75" i="1"/>
  <c r="E75" i="1"/>
  <c r="C75" i="1"/>
  <c r="F74" i="1"/>
  <c r="E74" i="1"/>
  <c r="C74" i="1"/>
  <c r="B74" i="1"/>
  <c r="D74" i="1" s="1"/>
  <c r="F73" i="1"/>
  <c r="E73" i="1"/>
  <c r="C73" i="1"/>
  <c r="B73" i="1"/>
  <c r="D73" i="1" s="1"/>
  <c r="F72" i="1"/>
  <c r="E72" i="1"/>
  <c r="C72" i="1"/>
  <c r="B72" i="1"/>
  <c r="D72" i="1" s="1"/>
  <c r="F71" i="1"/>
  <c r="E71" i="1"/>
  <c r="B71" i="1"/>
  <c r="D71" i="1" s="1"/>
  <c r="C71" i="1"/>
  <c r="B70" i="1"/>
  <c r="D70" i="1" s="1"/>
  <c r="C70" i="1"/>
  <c r="F70" i="1"/>
  <c r="E70" i="1"/>
  <c r="C69" i="1"/>
  <c r="E69" i="1"/>
  <c r="F69" i="1"/>
  <c r="B69" i="1"/>
  <c r="D69" i="1" s="1"/>
  <c r="B68" i="1"/>
  <c r="D68" i="1" s="1"/>
  <c r="C68" i="1"/>
  <c r="F68" i="1"/>
  <c r="E68" i="1"/>
  <c r="B67" i="1"/>
  <c r="D67" i="1" s="1"/>
  <c r="F67" i="1"/>
  <c r="E67" i="1"/>
  <c r="C67" i="1"/>
  <c r="F66" i="1"/>
  <c r="E66" i="1"/>
  <c r="C66" i="1"/>
  <c r="B66" i="1"/>
  <c r="D66" i="1" s="1"/>
  <c r="B65" i="1"/>
  <c r="D65" i="1" s="1"/>
  <c r="C65" i="1"/>
  <c r="E65" i="1"/>
  <c r="F65" i="1"/>
  <c r="B64" i="1"/>
  <c r="D64" i="1" s="1"/>
  <c r="C64" i="1"/>
  <c r="E64" i="1"/>
  <c r="F64" i="1"/>
  <c r="B63" i="1"/>
  <c r="D63" i="1" s="1"/>
  <c r="F63" i="1"/>
  <c r="E63" i="1"/>
  <c r="C63" i="1"/>
  <c r="B62" i="1"/>
  <c r="D62" i="1" s="1"/>
  <c r="F62" i="1"/>
  <c r="E62" i="1"/>
  <c r="C62" i="1"/>
  <c r="F61" i="1"/>
  <c r="E61" i="1"/>
  <c r="C61" i="1"/>
  <c r="B61" i="1"/>
  <c r="D61" i="1" s="1"/>
  <c r="B60" i="1"/>
  <c r="D60" i="1" s="1"/>
  <c r="F60" i="1"/>
  <c r="E60" i="1"/>
  <c r="C60" i="1"/>
  <c r="E59" i="1"/>
  <c r="C59" i="1"/>
  <c r="B59" i="1"/>
  <c r="D59" i="1" s="1"/>
  <c r="F59" i="1"/>
  <c r="F58" i="1"/>
  <c r="E58" i="1"/>
  <c r="C58" i="1"/>
  <c r="B58" i="1"/>
  <c r="D58" i="1" s="1"/>
  <c r="E57" i="1"/>
  <c r="B57" i="1"/>
  <c r="D57" i="1" s="1"/>
  <c r="C57" i="1"/>
  <c r="F57" i="1"/>
  <c r="F56" i="1"/>
  <c r="E56" i="1"/>
  <c r="C56" i="1"/>
  <c r="B56" i="1"/>
  <c r="D56" i="1" s="1"/>
  <c r="F55" i="1"/>
  <c r="B55" i="1"/>
  <c r="D55" i="1" s="1"/>
  <c r="E55" i="1"/>
  <c r="C55" i="1"/>
  <c r="C54" i="1"/>
  <c r="B54" i="1"/>
  <c r="D54" i="1" s="1"/>
  <c r="F54" i="1"/>
  <c r="E54" i="1"/>
  <c r="F53" i="1"/>
  <c r="E53" i="1"/>
  <c r="C53" i="1"/>
  <c r="B53" i="1"/>
  <c r="D53" i="1" s="1"/>
  <c r="B52" i="1"/>
  <c r="D52" i="1" s="1"/>
  <c r="F52" i="1"/>
  <c r="E52" i="1"/>
  <c r="C52" i="1"/>
  <c r="F51" i="1"/>
  <c r="E51" i="1"/>
  <c r="C51" i="1"/>
  <c r="B51" i="1"/>
  <c r="D51" i="1" s="1"/>
  <c r="F50" i="1"/>
  <c r="E50" i="1"/>
  <c r="C50" i="1"/>
  <c r="B50" i="1"/>
  <c r="D50" i="1" s="1"/>
  <c r="F49" i="1"/>
  <c r="E49" i="1"/>
  <c r="C49" i="1"/>
  <c r="B49" i="1"/>
  <c r="D49" i="1" s="1"/>
  <c r="F48" i="1"/>
  <c r="C48" i="1"/>
  <c r="B48" i="1"/>
  <c r="D48" i="1" s="1"/>
  <c r="E48" i="1"/>
  <c r="C47" i="1"/>
  <c r="B47" i="1"/>
  <c r="D47" i="1" s="1"/>
  <c r="E47" i="1"/>
  <c r="F47" i="1"/>
  <c r="F46" i="1"/>
  <c r="B46" i="1"/>
  <c r="D46" i="1" s="1"/>
  <c r="E46" i="1"/>
  <c r="C46" i="1"/>
  <c r="F45" i="1"/>
  <c r="B45" i="1"/>
  <c r="D45" i="1" s="1"/>
  <c r="C45" i="1"/>
  <c r="E45" i="1"/>
  <c r="B44" i="1"/>
  <c r="D44" i="1" s="1"/>
  <c r="C44" i="1"/>
  <c r="E44" i="1"/>
  <c r="F44" i="1"/>
  <c r="C43" i="1"/>
  <c r="E43" i="1"/>
  <c r="F43" i="1"/>
  <c r="B43" i="1"/>
  <c r="D43" i="1" s="1"/>
  <c r="F42" i="1"/>
  <c r="B42" i="1"/>
  <c r="D42" i="1" s="1"/>
  <c r="C42" i="1"/>
  <c r="E42" i="1"/>
  <c r="B41" i="1"/>
  <c r="D41" i="1" s="1"/>
  <c r="F41" i="1"/>
  <c r="E41" i="1"/>
  <c r="C41" i="1"/>
  <c r="E40" i="1"/>
  <c r="B40" i="1"/>
  <c r="D40" i="1" s="1"/>
  <c r="C40" i="1"/>
  <c r="F40" i="1"/>
  <c r="E39" i="1"/>
  <c r="F39" i="1"/>
  <c r="C39" i="1"/>
  <c r="B39" i="1"/>
  <c r="D39" i="1" s="1"/>
  <c r="F38" i="1"/>
  <c r="E38" i="1"/>
  <c r="C38" i="1"/>
  <c r="B38" i="1"/>
  <c r="D38" i="1" s="1"/>
  <c r="B37" i="1"/>
  <c r="D37" i="1" s="1"/>
  <c r="E37" i="1"/>
  <c r="C37" i="1"/>
  <c r="F37" i="1"/>
  <c r="E36" i="1"/>
  <c r="C36" i="1"/>
  <c r="B36" i="1"/>
  <c r="D36" i="1" s="1"/>
  <c r="F36" i="1"/>
  <c r="F35" i="1"/>
  <c r="B35" i="1"/>
  <c r="D35" i="1" s="1"/>
  <c r="E35" i="1"/>
  <c r="C35" i="1"/>
  <c r="E34" i="1"/>
  <c r="B34" i="1"/>
  <c r="D34" i="1" s="1"/>
  <c r="C34" i="1"/>
  <c r="F34" i="1"/>
  <c r="C33" i="1"/>
  <c r="E33" i="1"/>
  <c r="B33" i="1"/>
  <c r="D33" i="1" s="1"/>
  <c r="F33" i="1"/>
  <c r="C32" i="1"/>
  <c r="B32" i="1"/>
  <c r="D32" i="1" s="1"/>
  <c r="F32" i="1"/>
  <c r="E32" i="1"/>
  <c r="B31" i="1"/>
  <c r="D31" i="1" s="1"/>
  <c r="E31" i="1"/>
  <c r="F31" i="1"/>
  <c r="C31" i="1"/>
  <c r="E30" i="1"/>
  <c r="F30" i="1"/>
  <c r="B30" i="1"/>
  <c r="D30" i="1" s="1"/>
  <c r="C30" i="1"/>
  <c r="B29" i="1"/>
  <c r="D29" i="1" s="1"/>
  <c r="C29" i="1"/>
  <c r="E29" i="1"/>
  <c r="F29" i="1"/>
  <c r="C28" i="1"/>
  <c r="B28" i="1"/>
  <c r="D28" i="1" s="1"/>
  <c r="E28" i="1"/>
  <c r="F28" i="1"/>
  <c r="C27" i="1"/>
  <c r="E27" i="1"/>
  <c r="F27" i="1"/>
  <c r="B27" i="1"/>
  <c r="D27" i="1" s="1"/>
  <c r="B26" i="1"/>
  <c r="D26" i="1" s="1"/>
  <c r="C26" i="1"/>
  <c r="E26" i="1"/>
  <c r="F26" i="1"/>
  <c r="F25" i="1"/>
  <c r="B25" i="1"/>
  <c r="D25" i="1" s="1"/>
  <c r="E25" i="1"/>
  <c r="C25" i="1"/>
  <c r="B24" i="1"/>
  <c r="D24" i="1" s="1"/>
  <c r="F24" i="1"/>
  <c r="C24" i="1"/>
  <c r="E24" i="1"/>
  <c r="E23" i="1"/>
  <c r="B23" i="1"/>
  <c r="D23" i="1" s="1"/>
  <c r="C23" i="1"/>
  <c r="F23" i="1"/>
  <c r="B22" i="1"/>
  <c r="D22" i="1" s="1"/>
  <c r="C22" i="1"/>
  <c r="E22" i="1"/>
  <c r="F22" i="1"/>
  <c r="C21" i="1"/>
  <c r="E21" i="1"/>
  <c r="F21" i="1"/>
  <c r="B21" i="1"/>
  <c r="D21" i="1" s="1"/>
  <c r="E20" i="1"/>
  <c r="C20" i="1"/>
  <c r="B20" i="1"/>
  <c r="D20" i="1" s="1"/>
  <c r="F20" i="1"/>
  <c r="F19" i="1"/>
  <c r="C19" i="1"/>
  <c r="B19" i="1"/>
  <c r="D19" i="1" s="1"/>
  <c r="E19" i="1"/>
  <c r="F18" i="1"/>
  <c r="B18" i="1"/>
  <c r="D18" i="1" s="1"/>
  <c r="C18" i="1"/>
  <c r="E18" i="1"/>
  <c r="E17" i="1"/>
  <c r="F17" i="1"/>
  <c r="B17" i="1"/>
  <c r="D17" i="1" s="1"/>
  <c r="C17" i="1"/>
  <c r="B16" i="1"/>
  <c r="D16" i="1" s="1"/>
  <c r="C16" i="1"/>
  <c r="E16" i="1"/>
  <c r="F16" i="1"/>
  <c r="F15" i="1"/>
  <c r="E15" i="1"/>
  <c r="B15" i="1"/>
  <c r="D15" i="1" s="1"/>
  <c r="C15" i="1"/>
  <c r="B14" i="1"/>
  <c r="D14" i="1" s="1"/>
  <c r="C14" i="1"/>
  <c r="E14" i="1"/>
  <c r="F14" i="1"/>
  <c r="F13" i="1"/>
  <c r="B13" i="1"/>
  <c r="D13" i="1" s="1"/>
  <c r="C13" i="1"/>
  <c r="E13" i="1"/>
  <c r="B12" i="1"/>
  <c r="D12" i="1" s="1"/>
  <c r="F12" i="1"/>
  <c r="E12" i="1"/>
  <c r="C12" i="1"/>
  <c r="F11" i="1"/>
  <c r="B11" i="1"/>
  <c r="D11" i="1" s="1"/>
  <c r="C11" i="1"/>
  <c r="E11" i="1"/>
  <c r="C10" i="1"/>
  <c r="F10" i="1"/>
  <c r="E10" i="1"/>
  <c r="B10" i="1"/>
  <c r="D10" i="1" s="1"/>
  <c r="E9" i="1"/>
  <c r="F9" i="1"/>
  <c r="B9" i="1"/>
  <c r="D9" i="1" s="1"/>
  <c r="C9" i="1"/>
  <c r="B8" i="1"/>
  <c r="D8" i="1" s="1"/>
  <c r="C8" i="1"/>
  <c r="E8" i="1"/>
  <c r="F8" i="1"/>
  <c r="C7" i="1"/>
  <c r="B7" i="1"/>
  <c r="D7" i="1" s="1"/>
  <c r="F7" i="1"/>
  <c r="E7" i="1"/>
  <c r="F6" i="1"/>
  <c r="C6" i="1"/>
  <c r="B6" i="1"/>
  <c r="D6" i="1" s="1"/>
  <c r="E6" i="1"/>
  <c r="E5" i="1"/>
  <c r="F5" i="1"/>
  <c r="B5" i="1"/>
  <c r="D5" i="1" s="1"/>
  <c r="C5" i="1"/>
  <c r="E4" i="1"/>
  <c r="B4" i="1"/>
  <c r="D4" i="1" s="1"/>
  <c r="C4" i="1"/>
  <c r="F4" i="1"/>
  <c r="F3" i="1"/>
  <c r="E3" i="1"/>
  <c r="C3" i="1"/>
  <c r="B3" i="1"/>
  <c r="D3" i="1" s="1"/>
  <c r="F2" i="1"/>
  <c r="E2" i="1"/>
  <c r="C2" i="1"/>
  <c r="B2" i="1"/>
  <c r="D2" i="1" s="1"/>
</calcChain>
</file>

<file path=xl/sharedStrings.xml><?xml version="1.0" encoding="utf-8"?>
<sst xmlns="http://schemas.openxmlformats.org/spreadsheetml/2006/main" count="28" uniqueCount="28">
  <si>
    <t>Country</t>
  </si>
  <si>
    <t>Total Equity Risk Premium</t>
  </si>
  <si>
    <t>Rating-based Default Spread</t>
  </si>
  <si>
    <t>Final ERP</t>
  </si>
  <si>
    <t>Tax Rate</t>
  </si>
  <si>
    <t>CRP</t>
  </si>
  <si>
    <t>Nepal</t>
  </si>
  <si>
    <t>Algeria</t>
  </si>
  <si>
    <t>Brunei</t>
  </si>
  <si>
    <t>Gambia</t>
  </si>
  <si>
    <t>Guinea</t>
  </si>
  <si>
    <t>Guinea-Bissau</t>
  </si>
  <si>
    <t>Guyana</t>
  </si>
  <si>
    <t>Haiti</t>
  </si>
  <si>
    <t>Iran</t>
  </si>
  <si>
    <t>Korea, D.P.R.</t>
  </si>
  <si>
    <t>Liberia</t>
  </si>
  <si>
    <t>Libya</t>
  </si>
  <si>
    <t>Madagascar</t>
  </si>
  <si>
    <t>Malawi</t>
  </si>
  <si>
    <t>Myanmar</t>
  </si>
  <si>
    <t>Russia</t>
  </si>
  <si>
    <t>Sierra Leone</t>
  </si>
  <si>
    <t>Somalia</t>
  </si>
  <si>
    <t>Sudan</t>
  </si>
  <si>
    <t>Syria</t>
  </si>
  <si>
    <t>Yemen, Republic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</si>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</sst>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Geneva"/>
      <family val="2"/>
      <charset val="1"/>
    </font>
    <font>
      <sz val="8"/>
      <name val="Calibri"/>
      <family val="2"/>
      <scheme val="minor"/>
    </font>
    <font>
      <sz val="8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4314e3df45ea989/Documents/Country%20Risk%20Premium%20-%20Copia.xls" TargetMode="External"/><Relationship Id="rId1" Type="http://schemas.openxmlformats.org/officeDocument/2006/relationships/externalLinkPath" Target="Country%20Risk%20Premium%20-%20Cop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 Risky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>
        <row r="8">
          <cell r="A8" t="str">
            <v>Abu Dhabi</v>
          </cell>
          <cell r="B8" t="str">
            <v>Middle East</v>
          </cell>
          <cell r="C8" t="str">
            <v>Aa2</v>
          </cell>
          <cell r="D8">
            <v>4.8889784279692525E-3</v>
          </cell>
          <cell r="E8">
            <v>4.9887887954577638E-2</v>
          </cell>
          <cell r="F8">
            <v>6.5878879545776415E-3</v>
          </cell>
        </row>
        <row r="9">
          <cell r="A9" t="str">
            <v>Albania</v>
          </cell>
          <cell r="B9" t="str">
            <v>Eastern Europe &amp; Russia</v>
          </cell>
          <cell r="C9" t="str">
            <v>Ba3</v>
          </cell>
          <cell r="D9">
            <v>3.5619699975204554E-2</v>
          </cell>
          <cell r="E9">
            <v>9.1297469383351385E-2</v>
          </cell>
          <cell r="F9">
            <v>4.7997469383351386E-2</v>
          </cell>
        </row>
        <row r="10">
          <cell r="A10" t="str">
            <v>Andorra (Principality of)</v>
          </cell>
          <cell r="B10" t="str">
            <v>Western Europe</v>
          </cell>
          <cell r="C10" t="str">
            <v>Baa1</v>
          </cell>
          <cell r="D10">
            <v>1.5830977766757577E-2</v>
          </cell>
          <cell r="E10">
            <v>6.4632208614822828E-2</v>
          </cell>
          <cell r="F10">
            <v>2.1332208614822837E-2</v>
          </cell>
        </row>
        <row r="11">
          <cell r="A11" t="str">
            <v>Angola</v>
          </cell>
          <cell r="B11" t="str">
            <v>Africa</v>
          </cell>
          <cell r="C11" t="str">
            <v>B3</v>
          </cell>
          <cell r="D11">
            <v>6.4371549301595152E-2</v>
          </cell>
          <cell r="E11">
            <v>0.13004052473527228</v>
          </cell>
          <cell r="F11">
            <v>8.6740524735272273E-2</v>
          </cell>
        </row>
        <row r="12">
          <cell r="A12" t="str">
            <v>Argentina</v>
          </cell>
          <cell r="B12" t="str">
            <v>Central and South America</v>
          </cell>
          <cell r="C12" t="str">
            <v>Ca</v>
          </cell>
          <cell r="D12">
            <v>0.11884873749896685</v>
          </cell>
          <cell r="E12">
            <v>0.20344841908628034</v>
          </cell>
          <cell r="F12">
            <v>0.16014841908628033</v>
          </cell>
        </row>
        <row r="13">
          <cell r="A13" t="str">
            <v>Armenia</v>
          </cell>
          <cell r="B13" t="str">
            <v>Eastern Europe &amp; Russia</v>
          </cell>
          <cell r="C13" t="str">
            <v>Ba3</v>
          </cell>
          <cell r="D13">
            <v>3.5619699975204554E-2</v>
          </cell>
          <cell r="E13">
            <v>9.1297469383351385E-2</v>
          </cell>
          <cell r="F13">
            <v>4.7997469383351386E-2</v>
          </cell>
        </row>
        <row r="14">
          <cell r="A14" t="str">
            <v>Aruba</v>
          </cell>
          <cell r="B14" t="str">
            <v>Caribbean</v>
          </cell>
          <cell r="C14" t="str">
            <v>Baa3</v>
          </cell>
          <cell r="D14">
            <v>2.1767594429291676E-2</v>
          </cell>
          <cell r="E14">
            <v>7.2631786845381408E-2</v>
          </cell>
          <cell r="F14">
            <v>2.9331786845381409E-2</v>
          </cell>
        </row>
        <row r="15">
          <cell r="A15" t="str">
            <v>Australia</v>
          </cell>
          <cell r="B15" t="str">
            <v>Australia &amp; New Zealand</v>
          </cell>
          <cell r="C15" t="str">
            <v>Aaa</v>
          </cell>
          <cell r="D15">
            <v>0</v>
          </cell>
          <cell r="E15">
            <v>4.3299999999999998E-2</v>
          </cell>
          <cell r="F15">
            <v>0</v>
          </cell>
        </row>
        <row r="16">
          <cell r="A16" t="str">
            <v>Austria</v>
          </cell>
          <cell r="B16" t="str">
            <v>Western Europe</v>
          </cell>
          <cell r="C16" t="str">
            <v>Aa1</v>
          </cell>
          <cell r="D16">
            <v>3.9577444416893943E-3</v>
          </cell>
          <cell r="E16">
            <v>4.8633052153705711E-2</v>
          </cell>
          <cell r="F16">
            <v>5.3330521537057092E-3</v>
          </cell>
        </row>
        <row r="17">
          <cell r="A17" t="str">
            <v>Azerbaijan</v>
          </cell>
          <cell r="B17" t="str">
            <v>Eastern Europe &amp; Russia</v>
          </cell>
          <cell r="C17" t="str">
            <v>Ba1</v>
          </cell>
          <cell r="D17">
            <v>2.4794104884701216E-2</v>
          </cell>
          <cell r="E17">
            <v>7.6710003198215193E-2</v>
          </cell>
          <cell r="F17">
            <v>3.3410003198215195E-2</v>
          </cell>
        </row>
        <row r="18">
          <cell r="A18" t="str">
            <v>Bahamas</v>
          </cell>
          <cell r="B18" t="str">
            <v>Caribbean</v>
          </cell>
          <cell r="C18" t="str">
            <v>B1</v>
          </cell>
          <cell r="D18">
            <v>4.4582827093148182E-2</v>
          </cell>
          <cell r="E18">
            <v>0.10337526396674374</v>
          </cell>
          <cell r="F18">
            <v>6.007526396674373E-2</v>
          </cell>
        </row>
        <row r="19">
          <cell r="A19" t="str">
            <v>Bahrain</v>
          </cell>
          <cell r="B19" t="str">
            <v>Middle East</v>
          </cell>
          <cell r="C19" t="str">
            <v>B2</v>
          </cell>
          <cell r="D19">
            <v>5.4477188197371677E-2</v>
          </cell>
          <cell r="E19">
            <v>0.11670789435100801</v>
          </cell>
          <cell r="F19">
            <v>7.3407894351008016E-2</v>
          </cell>
        </row>
        <row r="20">
          <cell r="A20" t="str">
            <v>Bangladesh</v>
          </cell>
          <cell r="B20" t="str">
            <v>Asia</v>
          </cell>
          <cell r="C20" t="str">
            <v>B2</v>
          </cell>
          <cell r="D20">
            <v>5.4477188197371677E-2</v>
          </cell>
          <cell r="E20">
            <v>0.11670789435100801</v>
          </cell>
          <cell r="F20">
            <v>7.3407894351008016E-2</v>
          </cell>
        </row>
        <row r="21">
          <cell r="A21" t="str">
            <v>Barbados</v>
          </cell>
          <cell r="B21" t="str">
            <v>Caribbean</v>
          </cell>
          <cell r="C21" t="str">
            <v>B3</v>
          </cell>
          <cell r="D21">
            <v>6.4371549301595152E-2</v>
          </cell>
          <cell r="E21">
            <v>0.13004052473527228</v>
          </cell>
          <cell r="F21">
            <v>8.6740524735272273E-2</v>
          </cell>
        </row>
        <row r="22">
          <cell r="A22" t="str">
            <v>Belarus</v>
          </cell>
          <cell r="B22" t="str">
            <v>Eastern Europe &amp; Russia</v>
          </cell>
          <cell r="C22" t="str">
            <v>C</v>
          </cell>
          <cell r="D22">
            <v>0.17499999999999999</v>
          </cell>
          <cell r="E22">
            <v>0.27911212497392057</v>
          </cell>
          <cell r="F22">
            <v>0.23581212497392059</v>
          </cell>
        </row>
        <row r="23">
          <cell r="A23" t="str">
            <v>Belgium</v>
          </cell>
          <cell r="B23" t="str">
            <v>Western Europe</v>
          </cell>
          <cell r="C23" t="str">
            <v>Aa3</v>
          </cell>
          <cell r="D23">
            <v>5.9366166625340932E-3</v>
          </cell>
          <cell r="E23">
            <v>5.1299578230558564E-2</v>
          </cell>
          <cell r="F23">
            <v>7.9995782305585655E-3</v>
          </cell>
        </row>
        <row r="24">
          <cell r="A24" t="str">
            <v>Belize</v>
          </cell>
          <cell r="B24" t="str">
            <v>Central and South America</v>
          </cell>
          <cell r="C24" t="str">
            <v>Caa1</v>
          </cell>
          <cell r="D24">
            <v>7.4265910405818647E-2</v>
          </cell>
          <cell r="E24">
            <v>0.14337315511953655</v>
          </cell>
          <cell r="F24">
            <v>0.10007315511953656</v>
          </cell>
        </row>
        <row r="25">
          <cell r="A25" t="str">
            <v>Benin</v>
          </cell>
          <cell r="B25" t="str">
            <v>Africa</v>
          </cell>
          <cell r="C25" t="str">
            <v>B1</v>
          </cell>
          <cell r="D25">
            <v>4.4582827093148182E-2</v>
          </cell>
          <cell r="E25">
            <v>0.10337526396674374</v>
          </cell>
          <cell r="F25">
            <v>6.007526396674373E-2</v>
          </cell>
        </row>
        <row r="26">
          <cell r="A26" t="str">
            <v>Bermuda</v>
          </cell>
          <cell r="B26" t="str">
            <v>Caribbean</v>
          </cell>
          <cell r="C26" t="str">
            <v>A2</v>
          </cell>
          <cell r="D26">
            <v>8.3811058765187203E-3</v>
          </cell>
          <cell r="E26">
            <v>5.4593522207847384E-2</v>
          </cell>
          <cell r="F26">
            <v>1.1293522207847389E-2</v>
          </cell>
        </row>
        <row r="27">
          <cell r="A27" t="str">
            <v>Bolivia</v>
          </cell>
          <cell r="B27" t="str">
            <v>Central and South America</v>
          </cell>
          <cell r="C27" t="str">
            <v>Caa3</v>
          </cell>
          <cell r="D27">
            <v>9.9060015290519873E-2</v>
          </cell>
          <cell r="E27">
            <v>0.17678315831775177</v>
          </cell>
          <cell r="F27">
            <v>0.13348315831775176</v>
          </cell>
        </row>
        <row r="28">
          <cell r="A28" t="str">
            <v>Bosnia and Herzegovina</v>
          </cell>
          <cell r="B28" t="str">
            <v>Eastern Europe &amp; Russia</v>
          </cell>
          <cell r="C28" t="str">
            <v>B3</v>
          </cell>
          <cell r="D28">
            <v>6.4371549301595152E-2</v>
          </cell>
          <cell r="E28">
            <v>0.13004052473527228</v>
          </cell>
          <cell r="F28">
            <v>8.6740524735272273E-2</v>
          </cell>
        </row>
        <row r="29">
          <cell r="A29" t="str">
            <v>Botswana</v>
          </cell>
          <cell r="B29" t="str">
            <v>Africa</v>
          </cell>
          <cell r="C29" t="str">
            <v>A3</v>
          </cell>
          <cell r="D29">
            <v>1.1873233325068186E-2</v>
          </cell>
          <cell r="E29">
            <v>5.9299156461117129E-2</v>
          </cell>
          <cell r="F29">
            <v>1.5999156461117131E-2</v>
          </cell>
        </row>
        <row r="30">
          <cell r="A30" t="str">
            <v>Brazil</v>
          </cell>
          <cell r="B30" t="str">
            <v>Central and South America</v>
          </cell>
          <cell r="C30" t="str">
            <v>Ba1</v>
          </cell>
          <cell r="D30">
            <v>2.4794104884701216E-2</v>
          </cell>
          <cell r="E30">
            <v>7.6710003198215193E-2</v>
          </cell>
          <cell r="F30">
            <v>3.3410003198215195E-2</v>
          </cell>
        </row>
        <row r="31">
          <cell r="A31" t="str">
            <v>Bulgaria</v>
          </cell>
          <cell r="B31" t="str">
            <v>Eastern Europe &amp; Russia</v>
          </cell>
          <cell r="C31" t="str">
            <v>Baa1</v>
          </cell>
          <cell r="D31">
            <v>1.5830977766757577E-2</v>
          </cell>
          <cell r="E31">
            <v>6.4632208614822828E-2</v>
          </cell>
          <cell r="F31">
            <v>2.1332208614822837E-2</v>
          </cell>
        </row>
        <row r="32">
          <cell r="A32" t="str">
            <v>Burkina Faso</v>
          </cell>
          <cell r="B32" t="str">
            <v>Africa</v>
          </cell>
          <cell r="C32" t="str">
            <v>Caa1</v>
          </cell>
          <cell r="D32">
            <v>7.4265910405818647E-2</v>
          </cell>
          <cell r="E32">
            <v>0.14337315511953655</v>
          </cell>
          <cell r="F32">
            <v>0.10007315511953656</v>
          </cell>
        </row>
        <row r="33">
          <cell r="A33" t="str">
            <v>Cambodia</v>
          </cell>
          <cell r="B33" t="str">
            <v>Asia</v>
          </cell>
          <cell r="C33" t="str">
            <v>B2</v>
          </cell>
          <cell r="D33">
            <v>5.4477188197371677E-2</v>
          </cell>
          <cell r="E33">
            <v>0.11670789435100801</v>
          </cell>
          <cell r="F33">
            <v>7.3407894351008016E-2</v>
          </cell>
        </row>
        <row r="34">
          <cell r="A34" t="str">
            <v>Cameroon</v>
          </cell>
          <cell r="B34" t="str">
            <v>Africa</v>
          </cell>
          <cell r="C34" t="str">
            <v>Caa1</v>
          </cell>
          <cell r="D34">
            <v>7.4265910405818647E-2</v>
          </cell>
          <cell r="E34">
            <v>0.14337315511953655</v>
          </cell>
          <cell r="F34">
            <v>0.10007315511953656</v>
          </cell>
        </row>
        <row r="35">
          <cell r="A35" t="str">
            <v>Canada</v>
          </cell>
          <cell r="B35" t="str">
            <v>North America</v>
          </cell>
          <cell r="C35" t="str">
            <v>Aaa</v>
          </cell>
          <cell r="D35">
            <v>0</v>
          </cell>
          <cell r="E35">
            <v>4.3299999999999998E-2</v>
          </cell>
          <cell r="F35">
            <v>0</v>
          </cell>
        </row>
        <row r="36">
          <cell r="A36" t="str">
            <v>Cape Verde</v>
          </cell>
          <cell r="B36" t="str">
            <v>Africa</v>
          </cell>
          <cell r="C36" t="str">
            <v>B2</v>
          </cell>
          <cell r="D36">
            <v>5.4477188197371677E-2</v>
          </cell>
          <cell r="E36">
            <v>0.11670789435100801</v>
          </cell>
          <cell r="F36">
            <v>7.3407894351008016E-2</v>
          </cell>
        </row>
        <row r="37">
          <cell r="A37" t="str">
            <v>Cayman Islands</v>
          </cell>
          <cell r="B37" t="str">
            <v>Caribbean</v>
          </cell>
          <cell r="C37" t="str">
            <v>Aa3</v>
          </cell>
          <cell r="D37">
            <v>5.9366166625340932E-3</v>
          </cell>
          <cell r="E37">
            <v>5.1299578230558564E-2</v>
          </cell>
          <cell r="F37">
            <v>7.9995782305585655E-3</v>
          </cell>
        </row>
        <row r="38">
          <cell r="A38" t="str">
            <v>Chile</v>
          </cell>
          <cell r="B38" t="str">
            <v>Central and South America</v>
          </cell>
          <cell r="C38" t="str">
            <v>A2</v>
          </cell>
          <cell r="D38">
            <v>8.3811058765187203E-3</v>
          </cell>
          <cell r="E38">
            <v>5.4593522207847384E-2</v>
          </cell>
          <cell r="F38">
            <v>1.1293522207847389E-2</v>
          </cell>
        </row>
        <row r="39">
          <cell r="A39" t="str">
            <v>China</v>
          </cell>
          <cell r="B39" t="str">
            <v>Asia</v>
          </cell>
          <cell r="C39" t="str">
            <v>A1</v>
          </cell>
          <cell r="D39">
            <v>6.9842548970989338E-3</v>
          </cell>
          <cell r="E39">
            <v>5.271126850653949E-2</v>
          </cell>
          <cell r="F39">
            <v>9.4112685065394896E-3</v>
          </cell>
        </row>
        <row r="40">
          <cell r="A40" t="str">
            <v>Colombia</v>
          </cell>
          <cell r="B40" t="str">
            <v>Central and South America</v>
          </cell>
          <cell r="C40" t="str">
            <v>Baa2</v>
          </cell>
          <cell r="D40">
            <v>1.885748822216712E-2</v>
          </cell>
          <cell r="E40">
            <v>6.8710424967656614E-2</v>
          </cell>
          <cell r="F40">
            <v>2.5410424967656622E-2</v>
          </cell>
        </row>
        <row r="41">
          <cell r="A41" t="str">
            <v>Congo (Democratic Republic of)</v>
          </cell>
          <cell r="B41" t="str">
            <v>Africa</v>
          </cell>
          <cell r="C41" t="str">
            <v>B3</v>
          </cell>
          <cell r="D41">
            <v>6.4371549301595152E-2</v>
          </cell>
          <cell r="E41">
            <v>0.13004052473527228</v>
          </cell>
          <cell r="F41">
            <v>8.6740524735272273E-2</v>
          </cell>
        </row>
        <row r="42">
          <cell r="A42" t="str">
            <v>Congo (Republic of)</v>
          </cell>
          <cell r="B42" t="str">
            <v>Africa</v>
          </cell>
          <cell r="C42" t="str">
            <v>Caa2</v>
          </cell>
          <cell r="D42">
            <v>8.9165654186296364E-2</v>
          </cell>
          <cell r="E42">
            <v>0.16345052793348747</v>
          </cell>
          <cell r="F42">
            <v>0.12015052793348746</v>
          </cell>
        </row>
        <row r="43">
          <cell r="A43" t="str">
            <v>Cook Islands</v>
          </cell>
          <cell r="B43" t="str">
            <v>Australia &amp; New Zealand</v>
          </cell>
          <cell r="C43" t="str">
            <v>B1</v>
          </cell>
          <cell r="D43">
            <v>4.4582827093148182E-2</v>
          </cell>
          <cell r="E43">
            <v>0.10337526396674374</v>
          </cell>
          <cell r="F43">
            <v>6.007526396674373E-2</v>
          </cell>
        </row>
        <row r="44">
          <cell r="A44" t="str">
            <v>Costa Rica</v>
          </cell>
          <cell r="B44" t="str">
            <v>Central and South America</v>
          </cell>
          <cell r="C44" t="str">
            <v>Ba3</v>
          </cell>
          <cell r="D44">
            <v>3.5619699975204554E-2</v>
          </cell>
          <cell r="E44">
            <v>9.1297469383351385E-2</v>
          </cell>
          <cell r="F44">
            <v>4.7997469383351386E-2</v>
          </cell>
        </row>
        <row r="45">
          <cell r="A45" t="str">
            <v>Côte d'Ivoire</v>
          </cell>
          <cell r="B45" t="str">
            <v>Africa</v>
          </cell>
          <cell r="C45" t="str">
            <v>Ba2</v>
          </cell>
          <cell r="D45">
            <v>2.9799487560955448E-2</v>
          </cell>
          <cell r="E45">
            <v>8.3454745627901811E-2</v>
          </cell>
          <cell r="F45">
            <v>4.0154745627901819E-2</v>
          </cell>
        </row>
        <row r="46">
          <cell r="A46" t="str">
            <v>Croatia</v>
          </cell>
          <cell r="B46" t="str">
            <v>Eastern Europe &amp; Russia</v>
          </cell>
          <cell r="C46" t="str">
            <v>A3</v>
          </cell>
          <cell r="D46">
            <v>1.1873233325068186E-2</v>
          </cell>
          <cell r="E46">
            <v>5.9299156461117129E-2</v>
          </cell>
          <cell r="F46">
            <v>1.5999156461117131E-2</v>
          </cell>
        </row>
        <row r="47">
          <cell r="A47" t="str">
            <v>Cuba</v>
          </cell>
          <cell r="B47" t="str">
            <v>Caribbean</v>
          </cell>
          <cell r="C47" t="str">
            <v>Ca</v>
          </cell>
          <cell r="D47">
            <v>0.11884873749896685</v>
          </cell>
          <cell r="E47">
            <v>0.20344841908628034</v>
          </cell>
          <cell r="F47">
            <v>0.16014841908628033</v>
          </cell>
        </row>
        <row r="48">
          <cell r="A48" t="str">
            <v>Curacao</v>
          </cell>
          <cell r="B48" t="str">
            <v>Caribbean</v>
          </cell>
          <cell r="C48" t="str">
            <v>Baa3</v>
          </cell>
          <cell r="D48">
            <v>2.1767594429291676E-2</v>
          </cell>
          <cell r="E48">
            <v>7.2631786845381408E-2</v>
          </cell>
          <cell r="F48">
            <v>2.9331786845381409E-2</v>
          </cell>
        </row>
        <row r="49">
          <cell r="A49" t="str">
            <v>Cyprus</v>
          </cell>
          <cell r="B49" t="str">
            <v>Western Europe</v>
          </cell>
          <cell r="C49" t="str">
            <v>A3</v>
          </cell>
          <cell r="D49">
            <v>1.1873233325068186E-2</v>
          </cell>
          <cell r="E49">
            <v>5.9299156461117129E-2</v>
          </cell>
          <cell r="F49">
            <v>1.5999156461117131E-2</v>
          </cell>
        </row>
        <row r="50">
          <cell r="A50" t="str">
            <v>Czech Republic</v>
          </cell>
          <cell r="B50" t="str">
            <v>Eastern Europe &amp; Russia</v>
          </cell>
          <cell r="C50" t="str">
            <v>Aa3</v>
          </cell>
          <cell r="D50">
            <v>5.9366166625340932E-3</v>
          </cell>
          <cell r="E50">
            <v>5.1299578230558564E-2</v>
          </cell>
          <cell r="F50">
            <v>7.9995782305585655E-3</v>
          </cell>
        </row>
        <row r="51">
          <cell r="A51" t="str">
            <v>Denmark</v>
          </cell>
          <cell r="B51" t="str">
            <v>Western Europe</v>
          </cell>
          <cell r="C51" t="str">
            <v>Aaa</v>
          </cell>
          <cell r="D51">
            <v>0</v>
          </cell>
          <cell r="E51">
            <v>4.3299999999999998E-2</v>
          </cell>
          <cell r="F51">
            <v>0</v>
          </cell>
        </row>
        <row r="52">
          <cell r="A52" t="str">
            <v>Dominican Republic</v>
          </cell>
          <cell r="B52" t="str">
            <v>Caribbean</v>
          </cell>
          <cell r="C52" t="str">
            <v>Ba3</v>
          </cell>
          <cell r="D52">
            <v>3.5619699975204554E-2</v>
          </cell>
          <cell r="E52">
            <v>9.1297469383351385E-2</v>
          </cell>
          <cell r="F52">
            <v>4.7997469383351386E-2</v>
          </cell>
        </row>
        <row r="53">
          <cell r="A53" t="str">
            <v>Ecuador</v>
          </cell>
          <cell r="B53" t="str">
            <v>Central and South America</v>
          </cell>
          <cell r="C53" t="str">
            <v>Caa3</v>
          </cell>
          <cell r="D53">
            <v>9.9060015290519873E-2</v>
          </cell>
          <cell r="E53">
            <v>0.17678315831775177</v>
          </cell>
          <cell r="F53">
            <v>0.13348315831775176</v>
          </cell>
        </row>
        <row r="54">
          <cell r="A54" t="str">
            <v>Egypt</v>
          </cell>
          <cell r="B54" t="str">
            <v>Africa</v>
          </cell>
          <cell r="C54" t="str">
            <v>Caa1</v>
          </cell>
          <cell r="D54">
            <v>7.4265910405818647E-2</v>
          </cell>
          <cell r="E54">
            <v>0.14337315511953655</v>
          </cell>
          <cell r="F54">
            <v>0.10007315511953656</v>
          </cell>
        </row>
        <row r="55">
          <cell r="A55" t="str">
            <v>El Salvador</v>
          </cell>
          <cell r="B55" t="str">
            <v>Central and South America</v>
          </cell>
          <cell r="C55" t="str">
            <v>B3</v>
          </cell>
          <cell r="D55">
            <v>6.4371549301595152E-2</v>
          </cell>
          <cell r="E55">
            <v>0.13004052473527228</v>
          </cell>
          <cell r="F55">
            <v>8.6740524735272273E-2</v>
          </cell>
        </row>
        <row r="56">
          <cell r="A56" t="str">
            <v>Estonia</v>
          </cell>
          <cell r="B56" t="str">
            <v>Eastern Europe &amp; Russia</v>
          </cell>
          <cell r="C56" t="str">
            <v>A1</v>
          </cell>
          <cell r="D56">
            <v>6.9842548970989338E-3</v>
          </cell>
          <cell r="E56">
            <v>5.271126850653949E-2</v>
          </cell>
          <cell r="F56">
            <v>9.4112685065394896E-3</v>
          </cell>
        </row>
        <row r="57">
          <cell r="A57" t="str">
            <v>Ethiopia</v>
          </cell>
          <cell r="B57" t="str">
            <v>Africa</v>
          </cell>
          <cell r="C57" t="str">
            <v>Caa2</v>
          </cell>
          <cell r="D57">
            <v>8.9165654186296364E-2</v>
          </cell>
          <cell r="E57">
            <v>0.16345052793348747</v>
          </cell>
          <cell r="F57">
            <v>0.12015052793348746</v>
          </cell>
        </row>
        <row r="58">
          <cell r="A58" t="str">
            <v>Fiji</v>
          </cell>
          <cell r="B58" t="str">
            <v>Asia</v>
          </cell>
          <cell r="C58" t="str">
            <v>B1</v>
          </cell>
          <cell r="D58">
            <v>4.4582827093148182E-2</v>
          </cell>
          <cell r="E58">
            <v>0.10337526396674374</v>
          </cell>
          <cell r="F58">
            <v>6.007526396674373E-2</v>
          </cell>
        </row>
        <row r="59">
          <cell r="A59" t="str">
            <v>Finland</v>
          </cell>
          <cell r="B59" t="str">
            <v>Western Europe</v>
          </cell>
          <cell r="C59" t="str">
            <v>Aa1</v>
          </cell>
          <cell r="D59">
            <v>3.9577444416893943E-3</v>
          </cell>
          <cell r="E59">
            <v>4.8633052153705711E-2</v>
          </cell>
          <cell r="F59">
            <v>5.3330521537057092E-3</v>
          </cell>
        </row>
        <row r="60">
          <cell r="A60" t="str">
            <v>France</v>
          </cell>
          <cell r="B60" t="str">
            <v>Western Europe</v>
          </cell>
          <cell r="C60" t="str">
            <v>Aa3</v>
          </cell>
          <cell r="D60">
            <v>5.9366166625340932E-3</v>
          </cell>
          <cell r="E60">
            <v>5.1299578230558564E-2</v>
          </cell>
          <cell r="F60">
            <v>7.9995782305585655E-3</v>
          </cell>
        </row>
        <row r="61">
          <cell r="A61" t="str">
            <v>Gabon</v>
          </cell>
          <cell r="B61" t="str">
            <v>Africa</v>
          </cell>
          <cell r="C61" t="str">
            <v>Caa2</v>
          </cell>
          <cell r="D61">
            <v>8.9165654186296364E-2</v>
          </cell>
          <cell r="E61">
            <v>0.16345052793348747</v>
          </cell>
          <cell r="F61">
            <v>0.12015052793348746</v>
          </cell>
        </row>
        <row r="62">
          <cell r="A62" t="str">
            <v>Georgia</v>
          </cell>
          <cell r="B62" t="str">
            <v>Eastern Europe &amp; Russia</v>
          </cell>
          <cell r="C62" t="str">
            <v>Ba2</v>
          </cell>
          <cell r="D62">
            <v>2.9799487560955448E-2</v>
          </cell>
          <cell r="E62">
            <v>8.3454745627901811E-2</v>
          </cell>
          <cell r="F62">
            <v>4.0154745627901819E-2</v>
          </cell>
        </row>
        <row r="63">
          <cell r="A63" t="str">
            <v>Germany</v>
          </cell>
          <cell r="B63" t="str">
            <v>Western Europe</v>
          </cell>
          <cell r="C63" t="str">
            <v>Aaa</v>
          </cell>
          <cell r="D63">
            <v>0</v>
          </cell>
          <cell r="E63">
            <v>4.3299999999999998E-2</v>
          </cell>
          <cell r="F63">
            <v>0</v>
          </cell>
        </row>
        <row r="64">
          <cell r="A64" t="str">
            <v>Ghana</v>
          </cell>
          <cell r="B64" t="str">
            <v>Africa</v>
          </cell>
          <cell r="C64" t="str">
            <v>Caa2</v>
          </cell>
          <cell r="D64">
            <v>8.9165654186296364E-2</v>
          </cell>
          <cell r="E64">
            <v>0.16345052793348747</v>
          </cell>
          <cell r="F64">
            <v>0.12015052793348746</v>
          </cell>
        </row>
        <row r="65">
          <cell r="A65" t="str">
            <v>Greece</v>
          </cell>
          <cell r="B65" t="str">
            <v>Western Europe</v>
          </cell>
          <cell r="C65" t="str">
            <v>Ba1</v>
          </cell>
          <cell r="D65">
            <v>2.4794104884701216E-2</v>
          </cell>
          <cell r="E65">
            <v>7.6710003198215193E-2</v>
          </cell>
          <cell r="F65">
            <v>3.3410003198215195E-2</v>
          </cell>
        </row>
        <row r="66">
          <cell r="A66" t="str">
            <v>Guatemala</v>
          </cell>
          <cell r="B66" t="str">
            <v>Central and South America</v>
          </cell>
          <cell r="C66" t="str">
            <v>Ba1</v>
          </cell>
          <cell r="D66">
            <v>2.4794104884701216E-2</v>
          </cell>
          <cell r="E66">
            <v>7.6710003198215193E-2</v>
          </cell>
          <cell r="F66">
            <v>3.3410003198215195E-2</v>
          </cell>
        </row>
        <row r="67">
          <cell r="A67" t="str">
            <v>Guernsey (States of)</v>
          </cell>
          <cell r="B67" t="str">
            <v>Western Europe</v>
          </cell>
          <cell r="C67" t="str">
            <v>A1</v>
          </cell>
          <cell r="D67">
            <v>6.9842548970989338E-3</v>
          </cell>
          <cell r="E67">
            <v>5.271126850653949E-2</v>
          </cell>
          <cell r="F67">
            <v>9.4112685065394896E-3</v>
          </cell>
        </row>
        <row r="68">
          <cell r="A68" t="str">
            <v>Honduras</v>
          </cell>
          <cell r="B68" t="str">
            <v>Central and South America</v>
          </cell>
          <cell r="C68" t="str">
            <v>B1</v>
          </cell>
          <cell r="D68">
            <v>4.4582827093148182E-2</v>
          </cell>
          <cell r="E68">
            <v>0.10337526396674374</v>
          </cell>
          <cell r="F68">
            <v>6.007526396674373E-2</v>
          </cell>
        </row>
        <row r="69">
          <cell r="A69" t="str">
            <v>Hong Kong</v>
          </cell>
          <cell r="B69" t="str">
            <v>Asia</v>
          </cell>
          <cell r="C69" t="str">
            <v>Aa3</v>
          </cell>
          <cell r="D69">
            <v>5.9366166625340932E-3</v>
          </cell>
          <cell r="E69">
            <v>5.1299578230558564E-2</v>
          </cell>
          <cell r="F69">
            <v>7.9995782305585655E-3</v>
          </cell>
        </row>
        <row r="70">
          <cell r="A70" t="str">
            <v>Hungary</v>
          </cell>
          <cell r="B70" t="str">
            <v>Eastern Europe &amp; Russia</v>
          </cell>
          <cell r="C70" t="str">
            <v>Baa2</v>
          </cell>
          <cell r="D70">
            <v>1.885748822216712E-2</v>
          </cell>
          <cell r="E70">
            <v>6.8710424967656614E-2</v>
          </cell>
          <cell r="F70">
            <v>2.5410424967656622E-2</v>
          </cell>
        </row>
        <row r="71">
          <cell r="A71" t="str">
            <v>Iceland</v>
          </cell>
          <cell r="B71" t="str">
            <v>Western Europe</v>
          </cell>
          <cell r="C71" t="str">
            <v>A1</v>
          </cell>
          <cell r="D71">
            <v>6.9842548970989338E-3</v>
          </cell>
          <cell r="E71">
            <v>5.271126850653949E-2</v>
          </cell>
          <cell r="F71">
            <v>9.4112685065394896E-3</v>
          </cell>
        </row>
        <row r="72">
          <cell r="A72" t="str">
            <v>India</v>
          </cell>
          <cell r="B72" t="str">
            <v>Asia</v>
          </cell>
          <cell r="C72" t="str">
            <v>Baa3</v>
          </cell>
          <cell r="D72">
            <v>2.1767594429291676E-2</v>
          </cell>
          <cell r="E72">
            <v>7.2631786845381408E-2</v>
          </cell>
          <cell r="F72">
            <v>2.9331786845381409E-2</v>
          </cell>
        </row>
        <row r="73">
          <cell r="A73" t="str">
            <v>Indonesia</v>
          </cell>
          <cell r="B73" t="str">
            <v>Asia</v>
          </cell>
          <cell r="C73" t="str">
            <v>Baa2</v>
          </cell>
          <cell r="D73">
            <v>1.885748822216712E-2</v>
          </cell>
          <cell r="E73">
            <v>6.8710424967656614E-2</v>
          </cell>
          <cell r="F73">
            <v>2.5410424967656622E-2</v>
          </cell>
        </row>
        <row r="74">
          <cell r="A74" t="str">
            <v>Iraq</v>
          </cell>
          <cell r="B74" t="str">
            <v>Middle East</v>
          </cell>
          <cell r="C74" t="str">
            <v>Caa1</v>
          </cell>
          <cell r="D74">
            <v>7.4265910405818647E-2</v>
          </cell>
          <cell r="E74">
            <v>0.14337315511953655</v>
          </cell>
          <cell r="F74">
            <v>0.10007315511953656</v>
          </cell>
        </row>
        <row r="75">
          <cell r="A75" t="str">
            <v>Ireland</v>
          </cell>
          <cell r="B75" t="str">
            <v>Western Europe</v>
          </cell>
          <cell r="C75" t="str">
            <v>Aa3</v>
          </cell>
          <cell r="D75">
            <v>5.9366166625340932E-3</v>
          </cell>
          <cell r="E75">
            <v>5.1299578230558564E-2</v>
          </cell>
          <cell r="F75">
            <v>7.9995782305585655E-3</v>
          </cell>
        </row>
        <row r="76">
          <cell r="A76" t="str">
            <v>Isle of Man</v>
          </cell>
          <cell r="B76" t="str">
            <v>Western Europe</v>
          </cell>
          <cell r="C76" t="str">
            <v>Aa3</v>
          </cell>
          <cell r="D76">
            <v>5.9366166625340932E-3</v>
          </cell>
          <cell r="E76">
            <v>5.1299578230558564E-2</v>
          </cell>
          <cell r="F76">
            <v>7.9995782305585655E-3</v>
          </cell>
        </row>
        <row r="77">
          <cell r="A77" t="str">
            <v>Israel</v>
          </cell>
          <cell r="B77" t="str">
            <v>Middle East</v>
          </cell>
          <cell r="C77" t="str">
            <v>Baa1</v>
          </cell>
          <cell r="D77">
            <v>1.5830977766757577E-2</v>
          </cell>
          <cell r="E77">
            <v>6.4632208614822828E-2</v>
          </cell>
          <cell r="F77">
            <v>2.1332208614822837E-2</v>
          </cell>
        </row>
        <row r="78">
          <cell r="A78" t="str">
            <v>Italy</v>
          </cell>
          <cell r="B78" t="str">
            <v>Western Europe</v>
          </cell>
          <cell r="C78" t="str">
            <v>Baa3</v>
          </cell>
          <cell r="D78">
            <v>2.1767594429291676E-2</v>
          </cell>
          <cell r="E78">
            <v>7.2631786845381408E-2</v>
          </cell>
          <cell r="F78">
            <v>2.9331786845381409E-2</v>
          </cell>
        </row>
        <row r="79">
          <cell r="A79" t="str">
            <v>Jamaica</v>
          </cell>
          <cell r="B79" t="str">
            <v>Caribbean</v>
          </cell>
          <cell r="C79" t="str">
            <v>B1</v>
          </cell>
          <cell r="D79">
            <v>4.4582827093148182E-2</v>
          </cell>
          <cell r="E79">
            <v>0.10337526396674374</v>
          </cell>
          <cell r="F79">
            <v>6.007526396674373E-2</v>
          </cell>
        </row>
        <row r="80">
          <cell r="A80" t="str">
            <v>Japan</v>
          </cell>
          <cell r="B80" t="str">
            <v>Asia</v>
          </cell>
          <cell r="C80" t="str">
            <v>A1</v>
          </cell>
          <cell r="D80">
            <v>6.9842548970989338E-3</v>
          </cell>
          <cell r="E80">
            <v>5.271126850653949E-2</v>
          </cell>
          <cell r="F80">
            <v>9.4112685065394896E-3</v>
          </cell>
        </row>
        <row r="81">
          <cell r="A81" t="str">
            <v>Jersey (States of)</v>
          </cell>
          <cell r="B81" t="str">
            <v>Western Europe</v>
          </cell>
          <cell r="C81" t="str">
            <v>Aa2</v>
          </cell>
          <cell r="D81">
            <v>4.8889784279692525E-3</v>
          </cell>
          <cell r="E81">
            <v>4.9887887954577638E-2</v>
          </cell>
          <cell r="F81">
            <v>6.5878879545776415E-3</v>
          </cell>
        </row>
        <row r="82">
          <cell r="A82" t="str">
            <v>Jordan</v>
          </cell>
          <cell r="B82" t="str">
            <v>Middle East</v>
          </cell>
          <cell r="C82" t="str">
            <v>Ba3</v>
          </cell>
          <cell r="D82">
            <v>3.5619699975204554E-2</v>
          </cell>
          <cell r="E82">
            <v>9.1297469383351385E-2</v>
          </cell>
          <cell r="F82">
            <v>4.7997469383351386E-2</v>
          </cell>
        </row>
        <row r="83">
          <cell r="A83" t="str">
            <v>Kazakhstan</v>
          </cell>
          <cell r="B83" t="str">
            <v>Eastern Europe &amp; Russia</v>
          </cell>
          <cell r="C83" t="str">
            <v>Baa1</v>
          </cell>
          <cell r="D83">
            <v>1.5830977766757577E-2</v>
          </cell>
          <cell r="E83">
            <v>6.4632208614822828E-2</v>
          </cell>
          <cell r="F83">
            <v>2.1332208614822837E-2</v>
          </cell>
        </row>
        <row r="84">
          <cell r="A84" t="str">
            <v>Kenya</v>
          </cell>
          <cell r="B84" t="str">
            <v>Africa</v>
          </cell>
          <cell r="C84" t="str">
            <v>Caa1</v>
          </cell>
          <cell r="D84">
            <v>7.4265910405818647E-2</v>
          </cell>
          <cell r="E84">
            <v>0.14337315511953655</v>
          </cell>
          <cell r="F84">
            <v>0.10007315511953656</v>
          </cell>
        </row>
        <row r="85">
          <cell r="A85" t="str">
            <v>Korea</v>
          </cell>
          <cell r="B85" t="str">
            <v>Asia</v>
          </cell>
          <cell r="C85" t="str">
            <v>Aa2</v>
          </cell>
          <cell r="D85">
            <v>4.8889784279692525E-3</v>
          </cell>
          <cell r="E85">
            <v>4.9887887954577638E-2</v>
          </cell>
          <cell r="F85">
            <v>6.5878879545776415E-3</v>
          </cell>
        </row>
        <row r="86">
          <cell r="A86" t="str">
            <v>Kuwait</v>
          </cell>
          <cell r="B86" t="str">
            <v>Middle East</v>
          </cell>
          <cell r="C86" t="str">
            <v>A1</v>
          </cell>
          <cell r="D86">
            <v>6.9842548970989338E-3</v>
          </cell>
          <cell r="E86">
            <v>5.271126850653949E-2</v>
          </cell>
          <cell r="F86">
            <v>9.4112685065394896E-3</v>
          </cell>
        </row>
        <row r="87">
          <cell r="A87" t="str">
            <v>Kyrgyzstan</v>
          </cell>
          <cell r="B87" t="str">
            <v>Eastern Europe &amp; Russia</v>
          </cell>
          <cell r="C87" t="str">
            <v>B3</v>
          </cell>
          <cell r="D87">
            <v>6.4371549301595152E-2</v>
          </cell>
          <cell r="E87">
            <v>0.13004052473527228</v>
          </cell>
          <cell r="F87">
            <v>8.6740524735272273E-2</v>
          </cell>
        </row>
        <row r="88">
          <cell r="A88" t="str">
            <v>Laos</v>
          </cell>
          <cell r="B88" t="str">
            <v>Asia</v>
          </cell>
          <cell r="C88" t="str">
            <v>Caa3</v>
          </cell>
          <cell r="D88">
            <v>9.9060015290519873E-2</v>
          </cell>
          <cell r="E88">
            <v>0.17678315831775177</v>
          </cell>
          <cell r="F88">
            <v>0.13348315831775176</v>
          </cell>
        </row>
        <row r="89">
          <cell r="A89" t="str">
            <v>Latvia</v>
          </cell>
          <cell r="B89" t="str">
            <v>Eastern Europe &amp; Russia</v>
          </cell>
          <cell r="C89" t="str">
            <v>A3</v>
          </cell>
          <cell r="D89">
            <v>1.1873233325068186E-2</v>
          </cell>
          <cell r="E89">
            <v>5.9299156461117129E-2</v>
          </cell>
          <cell r="F89">
            <v>1.5999156461117131E-2</v>
          </cell>
        </row>
        <row r="90">
          <cell r="A90" t="str">
            <v>Lebanon</v>
          </cell>
          <cell r="B90" t="str">
            <v>Middle East</v>
          </cell>
          <cell r="C90" t="str">
            <v>C</v>
          </cell>
          <cell r="D90">
            <v>0.17499999999999999</v>
          </cell>
          <cell r="E90">
            <v>0.27911212497392057</v>
          </cell>
          <cell r="F90">
            <v>0.23581212497392059</v>
          </cell>
        </row>
        <row r="91">
          <cell r="A91" t="str">
            <v>Liechtenstein</v>
          </cell>
          <cell r="B91" t="str">
            <v>Western Europe</v>
          </cell>
          <cell r="C91" t="str">
            <v>Aaa</v>
          </cell>
          <cell r="D91">
            <v>0</v>
          </cell>
          <cell r="E91">
            <v>4.3299999999999998E-2</v>
          </cell>
          <cell r="F91">
            <v>0</v>
          </cell>
        </row>
        <row r="92">
          <cell r="A92" t="str">
            <v>Lithuania</v>
          </cell>
          <cell r="B92" t="str">
            <v>Eastern Europe &amp; Russia</v>
          </cell>
          <cell r="C92" t="str">
            <v>A2</v>
          </cell>
          <cell r="D92">
            <v>8.3811058765187203E-3</v>
          </cell>
          <cell r="E92">
            <v>5.4593522207847384E-2</v>
          </cell>
          <cell r="F92">
            <v>1.1293522207847389E-2</v>
          </cell>
        </row>
        <row r="93">
          <cell r="A93" t="str">
            <v>Luxembourg</v>
          </cell>
          <cell r="B93" t="str">
            <v>Western Europe</v>
          </cell>
          <cell r="C93" t="str">
            <v>Aaa</v>
          </cell>
          <cell r="D93">
            <v>0</v>
          </cell>
          <cell r="E93">
            <v>4.3299999999999998E-2</v>
          </cell>
          <cell r="F93">
            <v>0</v>
          </cell>
        </row>
        <row r="94">
          <cell r="A94" t="str">
            <v>Macao</v>
          </cell>
          <cell r="B94" t="str">
            <v>Asia</v>
          </cell>
          <cell r="C94" t="str">
            <v>Aa3</v>
          </cell>
          <cell r="D94">
            <v>5.9366166625340932E-3</v>
          </cell>
          <cell r="E94">
            <v>5.1299578230558564E-2</v>
          </cell>
          <cell r="F94">
            <v>7.9995782305585655E-3</v>
          </cell>
        </row>
        <row r="95">
          <cell r="A95" t="str">
            <v>Macedonia</v>
          </cell>
          <cell r="B95" t="str">
            <v>Eastern Europe &amp; Russia</v>
          </cell>
          <cell r="C95" t="str">
            <v>Ba3</v>
          </cell>
          <cell r="D95">
            <v>3.5619699975204554E-2</v>
          </cell>
          <cell r="E95">
            <v>9.1297469383351385E-2</v>
          </cell>
          <cell r="F95">
            <v>4.7997469383351386E-2</v>
          </cell>
        </row>
        <row r="96">
          <cell r="A96" t="str">
            <v>Malaysia</v>
          </cell>
          <cell r="B96" t="str">
            <v>Asia</v>
          </cell>
          <cell r="C96" t="str">
            <v>A3</v>
          </cell>
          <cell r="D96">
            <v>1.1873233325068186E-2</v>
          </cell>
          <cell r="E96">
            <v>5.9299156461117129E-2</v>
          </cell>
          <cell r="F96">
            <v>1.5999156461117131E-2</v>
          </cell>
        </row>
        <row r="97">
          <cell r="A97" t="str">
            <v>Maldives</v>
          </cell>
          <cell r="B97" t="str">
            <v>Asia</v>
          </cell>
          <cell r="C97" t="str">
            <v>Caa2</v>
          </cell>
          <cell r="D97">
            <v>8.9165654186296364E-2</v>
          </cell>
          <cell r="E97">
            <v>0.16345052793348747</v>
          </cell>
          <cell r="F97">
            <v>0.12015052793348746</v>
          </cell>
        </row>
        <row r="98">
          <cell r="A98" t="str">
            <v>Mali</v>
          </cell>
          <cell r="B98" t="str">
            <v>Africa</v>
          </cell>
          <cell r="C98" t="str">
            <v>Caa2</v>
          </cell>
          <cell r="D98">
            <v>8.9165654186296364E-2</v>
          </cell>
          <cell r="E98">
            <v>0.16345052793348747</v>
          </cell>
          <cell r="F98">
            <v>0.12015052793348746</v>
          </cell>
        </row>
        <row r="99">
          <cell r="A99" t="str">
            <v>Malta</v>
          </cell>
          <cell r="B99" t="str">
            <v>Western Europe</v>
          </cell>
          <cell r="C99" t="str">
            <v>A2</v>
          </cell>
          <cell r="D99">
            <v>8.3811058765187203E-3</v>
          </cell>
          <cell r="E99">
            <v>5.4593522207847384E-2</v>
          </cell>
          <cell r="F99">
            <v>1.1293522207847389E-2</v>
          </cell>
        </row>
        <row r="100">
          <cell r="A100" t="str">
            <v>Mauritius</v>
          </cell>
          <cell r="B100" t="str">
            <v>Africa</v>
          </cell>
          <cell r="C100" t="str">
            <v>Baa3</v>
          </cell>
          <cell r="D100">
            <v>2.1767594429291676E-2</v>
          </cell>
          <cell r="E100">
            <v>7.2631786845381408E-2</v>
          </cell>
          <cell r="F100">
            <v>2.9331786845381409E-2</v>
          </cell>
        </row>
        <row r="101">
          <cell r="A101" t="str">
            <v>Mexico</v>
          </cell>
          <cell r="B101" t="str">
            <v>Central and South America</v>
          </cell>
          <cell r="C101" t="str">
            <v>Baa2</v>
          </cell>
          <cell r="D101">
            <v>1.885748822216712E-2</v>
          </cell>
          <cell r="E101">
            <v>6.8710424967656614E-2</v>
          </cell>
          <cell r="F101">
            <v>2.5410424967656622E-2</v>
          </cell>
        </row>
        <row r="102">
          <cell r="A102" t="str">
            <v>Moldova</v>
          </cell>
          <cell r="B102" t="str">
            <v>Eastern Europe &amp; Russia</v>
          </cell>
          <cell r="C102" t="str">
            <v>B3</v>
          </cell>
          <cell r="D102">
            <v>6.4371549301595152E-2</v>
          </cell>
          <cell r="E102">
            <v>0.13004052473527228</v>
          </cell>
          <cell r="F102">
            <v>8.6740524735272273E-2</v>
          </cell>
        </row>
        <row r="103">
          <cell r="A103" t="str">
            <v>Mongolia</v>
          </cell>
          <cell r="B103" t="str">
            <v>Asia</v>
          </cell>
          <cell r="C103" t="str">
            <v>B2</v>
          </cell>
          <cell r="D103">
            <v>5.4477188197371677E-2</v>
          </cell>
          <cell r="E103">
            <v>0.11670789435100801</v>
          </cell>
          <cell r="F103">
            <v>7.3407894351008016E-2</v>
          </cell>
        </row>
        <row r="104">
          <cell r="A104" t="str">
            <v>Montenegro</v>
          </cell>
          <cell r="B104" t="str">
            <v>Eastern Europe &amp; Russia</v>
          </cell>
          <cell r="C104" t="str">
            <v>B1</v>
          </cell>
          <cell r="D104">
            <v>4.4582827093148182E-2</v>
          </cell>
          <cell r="E104">
            <v>0.10337526396674374</v>
          </cell>
          <cell r="F104">
            <v>6.007526396674373E-2</v>
          </cell>
        </row>
        <row r="105">
          <cell r="A105" t="str">
            <v>Montserrat</v>
          </cell>
          <cell r="B105" t="str">
            <v>Caribbean</v>
          </cell>
          <cell r="C105" t="str">
            <v>Baa3</v>
          </cell>
          <cell r="D105">
            <v>2.1767594429291676E-2</v>
          </cell>
          <cell r="E105">
            <v>7.2631786845381408E-2</v>
          </cell>
          <cell r="F105">
            <v>2.9331786845381409E-2</v>
          </cell>
        </row>
        <row r="106">
          <cell r="A106" t="str">
            <v>Morocco</v>
          </cell>
          <cell r="B106" t="str">
            <v>Africa</v>
          </cell>
          <cell r="C106" t="str">
            <v>Ba1</v>
          </cell>
          <cell r="D106">
            <v>2.4794104884701216E-2</v>
          </cell>
          <cell r="E106">
            <v>7.6710003198215193E-2</v>
          </cell>
          <cell r="F106">
            <v>3.3410003198215195E-2</v>
          </cell>
        </row>
        <row r="107">
          <cell r="A107" t="str">
            <v>Mozambique</v>
          </cell>
          <cell r="B107" t="str">
            <v>Africa</v>
          </cell>
          <cell r="C107" t="str">
            <v>Caa2</v>
          </cell>
          <cell r="D107">
            <v>8.9165654186296364E-2</v>
          </cell>
          <cell r="E107">
            <v>0.16345052793348747</v>
          </cell>
          <cell r="F107">
            <v>0.12015052793348746</v>
          </cell>
        </row>
        <row r="108">
          <cell r="A108" t="str">
            <v>Namibia</v>
          </cell>
          <cell r="B108" t="str">
            <v>Africa</v>
          </cell>
          <cell r="C108" t="str">
            <v>B1</v>
          </cell>
          <cell r="D108">
            <v>4.4582827093148182E-2</v>
          </cell>
          <cell r="E108">
            <v>0.10337526396674374</v>
          </cell>
          <cell r="F108">
            <v>6.007526396674373E-2</v>
          </cell>
        </row>
        <row r="109">
          <cell r="A109" t="str">
            <v>Nepal</v>
          </cell>
          <cell r="B109" t="str">
            <v>Asia</v>
          </cell>
          <cell r="C109" t="str">
            <v>Ba3</v>
          </cell>
          <cell r="D109">
            <v>3.5619699975204554E-2</v>
          </cell>
          <cell r="E109">
            <v>9.1297469383351385E-2</v>
          </cell>
          <cell r="F109">
            <v>4.7997469383351386E-2</v>
          </cell>
        </row>
        <row r="110">
          <cell r="A110" t="str">
            <v>Netherlands</v>
          </cell>
          <cell r="B110" t="str">
            <v>Western Europe</v>
          </cell>
          <cell r="C110" t="str">
            <v>Aaa</v>
          </cell>
          <cell r="D110">
            <v>0</v>
          </cell>
          <cell r="E110">
            <v>4.3299999999999998E-2</v>
          </cell>
          <cell r="F110">
            <v>0</v>
          </cell>
        </row>
        <row r="111">
          <cell r="A111" t="str">
            <v>New Zealand</v>
          </cell>
          <cell r="B111" t="str">
            <v>Australia &amp; New Zealand</v>
          </cell>
          <cell r="C111" t="str">
            <v>Aaa</v>
          </cell>
          <cell r="D111">
            <v>0</v>
          </cell>
          <cell r="E111">
            <v>4.3299999999999998E-2</v>
          </cell>
          <cell r="F111">
            <v>0</v>
          </cell>
        </row>
        <row r="112">
          <cell r="A112" t="str">
            <v>Nicaragua</v>
          </cell>
          <cell r="B112" t="str">
            <v>Central and South America</v>
          </cell>
          <cell r="C112" t="str">
            <v>B2</v>
          </cell>
          <cell r="D112">
            <v>5.4477188197371677E-2</v>
          </cell>
          <cell r="E112">
            <v>0.11670789435100801</v>
          </cell>
          <cell r="F112">
            <v>7.3407894351008016E-2</v>
          </cell>
        </row>
        <row r="113">
          <cell r="A113" t="str">
            <v>Niger</v>
          </cell>
          <cell r="B113" t="str">
            <v>Africa</v>
          </cell>
          <cell r="C113" t="str">
            <v>Caa3</v>
          </cell>
          <cell r="D113">
            <v>9.9060015290519873E-2</v>
          </cell>
          <cell r="E113">
            <v>0.17678315831775177</v>
          </cell>
          <cell r="F113">
            <v>0.13348315831775176</v>
          </cell>
        </row>
        <row r="114">
          <cell r="A114" t="str">
            <v>Nigeria</v>
          </cell>
          <cell r="B114" t="str">
            <v>Africa</v>
          </cell>
          <cell r="C114" t="str">
            <v>Caa1</v>
          </cell>
          <cell r="D114">
            <v>7.4265910405818647E-2</v>
          </cell>
          <cell r="E114">
            <v>0.14337315511953655</v>
          </cell>
          <cell r="F114">
            <v>0.10007315511953656</v>
          </cell>
        </row>
        <row r="115">
          <cell r="A115" t="str">
            <v>Norway</v>
          </cell>
          <cell r="B115" t="str">
            <v>Western Europe</v>
          </cell>
          <cell r="C115" t="str">
            <v>Aaa</v>
          </cell>
          <cell r="D115">
            <v>0</v>
          </cell>
          <cell r="E115">
            <v>4.3299999999999998E-2</v>
          </cell>
          <cell r="F115">
            <v>0</v>
          </cell>
        </row>
        <row r="116">
          <cell r="A116" t="str">
            <v>Oman</v>
          </cell>
          <cell r="B116" t="str">
            <v>Middle East</v>
          </cell>
          <cell r="C116" t="str">
            <v>Ba1</v>
          </cell>
          <cell r="D116">
            <v>2.4794104884701216E-2</v>
          </cell>
          <cell r="E116">
            <v>7.6710003198215193E-2</v>
          </cell>
          <cell r="F116">
            <v>3.3410003198215195E-2</v>
          </cell>
        </row>
        <row r="117">
          <cell r="A117" t="str">
            <v>Pakistan</v>
          </cell>
          <cell r="B117" t="str">
            <v>Asia</v>
          </cell>
          <cell r="C117" t="str">
            <v>Caa2</v>
          </cell>
          <cell r="D117">
            <v>8.9165654186296364E-2</v>
          </cell>
          <cell r="E117">
            <v>0.16345052793348747</v>
          </cell>
          <cell r="F117">
            <v>0.12015052793348746</v>
          </cell>
        </row>
        <row r="118">
          <cell r="A118" t="str">
            <v>Panama</v>
          </cell>
          <cell r="B118" t="str">
            <v>Central and South America</v>
          </cell>
          <cell r="C118" t="str">
            <v>Baa3</v>
          </cell>
          <cell r="D118">
            <v>2.1767594429291676E-2</v>
          </cell>
          <cell r="E118">
            <v>7.2631786845381408E-2</v>
          </cell>
          <cell r="F118">
            <v>2.9331786845381409E-2</v>
          </cell>
        </row>
        <row r="119">
          <cell r="A119" t="str">
            <v>Papua New Guinea</v>
          </cell>
          <cell r="B119" t="str">
            <v>Asia</v>
          </cell>
          <cell r="C119" t="str">
            <v>B2</v>
          </cell>
          <cell r="D119">
            <v>5.4477188197371677E-2</v>
          </cell>
          <cell r="E119">
            <v>0.11670789435100801</v>
          </cell>
          <cell r="F119">
            <v>7.3407894351008016E-2</v>
          </cell>
        </row>
        <row r="120">
          <cell r="A120" t="str">
            <v>Paraguay</v>
          </cell>
          <cell r="B120" t="str">
            <v>Central and South America</v>
          </cell>
          <cell r="C120" t="str">
            <v>Baa3</v>
          </cell>
          <cell r="D120">
            <v>2.1767594429291676E-2</v>
          </cell>
          <cell r="E120">
            <v>7.2631786845381408E-2</v>
          </cell>
          <cell r="F120">
            <v>2.9331786845381409E-2</v>
          </cell>
        </row>
        <row r="121">
          <cell r="A121" t="str">
            <v>Peru</v>
          </cell>
          <cell r="B121" t="str">
            <v>Central and South America</v>
          </cell>
          <cell r="C121" t="str">
            <v>Baa1</v>
          </cell>
          <cell r="D121">
            <v>1.5830977766757577E-2</v>
          </cell>
          <cell r="E121">
            <v>6.4632208614822828E-2</v>
          </cell>
          <cell r="F121">
            <v>2.1332208614822837E-2</v>
          </cell>
        </row>
        <row r="122">
          <cell r="A122" t="str">
            <v>Philippines</v>
          </cell>
          <cell r="B122" t="str">
            <v>Asia</v>
          </cell>
          <cell r="C122" t="str">
            <v>Baa2</v>
          </cell>
          <cell r="D122">
            <v>1.885748822216712E-2</v>
          </cell>
          <cell r="E122">
            <v>6.8710424967656614E-2</v>
          </cell>
          <cell r="F122">
            <v>2.5410424967656622E-2</v>
          </cell>
        </row>
        <row r="123">
          <cell r="A123" t="str">
            <v>Poland</v>
          </cell>
          <cell r="B123" t="str">
            <v>Eastern Europe &amp; Russia</v>
          </cell>
          <cell r="C123" t="str">
            <v>A2</v>
          </cell>
          <cell r="D123">
            <v>8.3811058765187203E-3</v>
          </cell>
          <cell r="E123">
            <v>5.4593522207847384E-2</v>
          </cell>
          <cell r="F123">
            <v>1.1293522207847389E-2</v>
          </cell>
        </row>
        <row r="124">
          <cell r="A124" t="str">
            <v>Portugal</v>
          </cell>
          <cell r="B124" t="str">
            <v>Western Europe</v>
          </cell>
          <cell r="C124" t="str">
            <v>A3</v>
          </cell>
          <cell r="D124">
            <v>1.1873233325068186E-2</v>
          </cell>
          <cell r="E124">
            <v>5.9299156461117129E-2</v>
          </cell>
          <cell r="F124">
            <v>1.5999156461117131E-2</v>
          </cell>
        </row>
        <row r="125">
          <cell r="A125" t="str">
            <v>Qatar</v>
          </cell>
          <cell r="B125" t="str">
            <v>Middle East</v>
          </cell>
          <cell r="C125" t="str">
            <v>Aa2</v>
          </cell>
          <cell r="D125">
            <v>4.8889784279692525E-3</v>
          </cell>
          <cell r="E125">
            <v>4.9887887954577638E-2</v>
          </cell>
          <cell r="F125">
            <v>6.5878879545776415E-3</v>
          </cell>
        </row>
        <row r="126">
          <cell r="A126" t="str">
            <v>Ras Al Khaimah (Emirate of)</v>
          </cell>
          <cell r="B126" t="str">
            <v>Middle East</v>
          </cell>
          <cell r="C126" t="str">
            <v>A3</v>
          </cell>
          <cell r="D126">
            <v>1.1873233325068186E-2</v>
          </cell>
          <cell r="E126">
            <v>5.9299156461117129E-2</v>
          </cell>
          <cell r="F126">
            <v>1.5999156461117131E-2</v>
          </cell>
        </row>
        <row r="127">
          <cell r="A127" t="str">
            <v>Romania</v>
          </cell>
          <cell r="B127" t="str">
            <v>Eastern Europe &amp; Russia</v>
          </cell>
          <cell r="C127" t="str">
            <v>Baa3</v>
          </cell>
          <cell r="D127">
            <v>2.1767594429291676E-2</v>
          </cell>
          <cell r="E127">
            <v>7.2631786845381408E-2</v>
          </cell>
          <cell r="F127">
            <v>2.9331786845381409E-2</v>
          </cell>
        </row>
        <row r="128">
          <cell r="A128" t="str">
            <v>Rwanda</v>
          </cell>
          <cell r="B128" t="str">
            <v>Africa</v>
          </cell>
          <cell r="C128" t="str">
            <v>B2</v>
          </cell>
          <cell r="D128">
            <v>5.4477188197371677E-2</v>
          </cell>
          <cell r="E128">
            <v>0.11670789435100801</v>
          </cell>
          <cell r="F128">
            <v>7.3407894351008016E-2</v>
          </cell>
        </row>
        <row r="129">
          <cell r="A129" t="str">
            <v>Saudi Arabia</v>
          </cell>
          <cell r="B129" t="str">
            <v>Middle East</v>
          </cell>
          <cell r="C129" t="str">
            <v>Aa3</v>
          </cell>
          <cell r="D129">
            <v>5.9366166625340932E-3</v>
          </cell>
          <cell r="E129">
            <v>5.1299578230558564E-2</v>
          </cell>
          <cell r="F129">
            <v>7.9995782305585655E-3</v>
          </cell>
        </row>
        <row r="130">
          <cell r="A130" t="str">
            <v>Senegal</v>
          </cell>
          <cell r="B130" t="str">
            <v>Africa</v>
          </cell>
          <cell r="C130" t="str">
            <v>B1</v>
          </cell>
          <cell r="D130">
            <v>4.4582827093148182E-2</v>
          </cell>
          <cell r="E130">
            <v>0.10337526396674374</v>
          </cell>
          <cell r="F130">
            <v>6.007526396674373E-2</v>
          </cell>
        </row>
        <row r="131">
          <cell r="A131" t="str">
            <v>Serbia</v>
          </cell>
          <cell r="B131" t="str">
            <v>Eastern Europe &amp; Russia</v>
          </cell>
          <cell r="C131" t="str">
            <v>Ba2</v>
          </cell>
          <cell r="D131">
            <v>2.9799487560955448E-2</v>
          </cell>
          <cell r="E131">
            <v>8.3454745627901811E-2</v>
          </cell>
          <cell r="F131">
            <v>4.0154745627901819E-2</v>
          </cell>
        </row>
        <row r="132">
          <cell r="A132" t="str">
            <v>Sharjah</v>
          </cell>
          <cell r="B132" t="str">
            <v>Middle East</v>
          </cell>
          <cell r="C132" t="str">
            <v>Ba1</v>
          </cell>
          <cell r="D132">
            <v>2.4794104884701216E-2</v>
          </cell>
          <cell r="E132">
            <v>7.6710003198215193E-2</v>
          </cell>
          <cell r="F132">
            <v>3.3410003198215195E-2</v>
          </cell>
        </row>
        <row r="133">
          <cell r="A133" t="str">
            <v>Singapore</v>
          </cell>
          <cell r="B133" t="str">
            <v>Asia</v>
          </cell>
          <cell r="C133" t="str">
            <v>Aaa</v>
          </cell>
          <cell r="D133">
            <v>0</v>
          </cell>
          <cell r="E133">
            <v>4.3299999999999998E-2</v>
          </cell>
          <cell r="F133">
            <v>0</v>
          </cell>
        </row>
        <row r="134">
          <cell r="A134" t="str">
            <v>Slovakia</v>
          </cell>
          <cell r="B134" t="str">
            <v>Eastern Europe &amp; Russia</v>
          </cell>
          <cell r="C134" t="str">
            <v>A3</v>
          </cell>
          <cell r="D134">
            <v>1.1873233325068186E-2</v>
          </cell>
          <cell r="E134">
            <v>5.9299156461117129E-2</v>
          </cell>
          <cell r="F134">
            <v>1.5999156461117131E-2</v>
          </cell>
        </row>
        <row r="135">
          <cell r="A135" t="str">
            <v>Slovenia</v>
          </cell>
          <cell r="B135" t="str">
            <v>Eastern Europe &amp; Russia</v>
          </cell>
          <cell r="C135" t="str">
            <v>A3</v>
          </cell>
          <cell r="D135">
            <v>1.1873233325068186E-2</v>
          </cell>
          <cell r="E135">
            <v>5.9299156461117129E-2</v>
          </cell>
          <cell r="F135">
            <v>1.5999156461117131E-2</v>
          </cell>
        </row>
        <row r="136">
          <cell r="A136" t="str">
            <v>Solomon Islands</v>
          </cell>
          <cell r="B136" t="str">
            <v>Asia</v>
          </cell>
          <cell r="C136" t="str">
            <v>Caa1</v>
          </cell>
          <cell r="D136">
            <v>7.4265910405818647E-2</v>
          </cell>
          <cell r="E136">
            <v>0.14337315511953655</v>
          </cell>
          <cell r="F136">
            <v>0.10007315511953656</v>
          </cell>
        </row>
        <row r="137">
          <cell r="A137" t="str">
            <v>South Africa</v>
          </cell>
          <cell r="B137" t="str">
            <v>Africa</v>
          </cell>
          <cell r="C137" t="str">
            <v>Ba2</v>
          </cell>
          <cell r="D137">
            <v>2.9799487560955448E-2</v>
          </cell>
          <cell r="E137">
            <v>8.3454745627901811E-2</v>
          </cell>
          <cell r="F137">
            <v>4.0154745627901819E-2</v>
          </cell>
        </row>
        <row r="138">
          <cell r="A138" t="str">
            <v>Spain</v>
          </cell>
          <cell r="B138" t="str">
            <v>Western Europe</v>
          </cell>
          <cell r="C138" t="str">
            <v>Baa1</v>
          </cell>
          <cell r="D138">
            <v>1.5830977766757577E-2</v>
          </cell>
          <cell r="E138">
            <v>6.4632208614822828E-2</v>
          </cell>
          <cell r="F138">
            <v>2.1332208614822837E-2</v>
          </cell>
        </row>
        <row r="139">
          <cell r="A139" t="str">
            <v>Sri Lanka</v>
          </cell>
          <cell r="B139" t="str">
            <v>Asia</v>
          </cell>
          <cell r="C139" t="str">
            <v>Ca</v>
          </cell>
          <cell r="D139">
            <v>0.11884873749896685</v>
          </cell>
          <cell r="E139">
            <v>0.20344841908628034</v>
          </cell>
          <cell r="F139">
            <v>0.16014841908628033</v>
          </cell>
        </row>
        <row r="140">
          <cell r="A140" t="str">
            <v>St. Maarten</v>
          </cell>
          <cell r="B140" t="str">
            <v>Caribbean</v>
          </cell>
          <cell r="C140" t="str">
            <v>Ba2</v>
          </cell>
          <cell r="D140">
            <v>2.9799487560955448E-2</v>
          </cell>
          <cell r="E140">
            <v>8.3454745627901811E-2</v>
          </cell>
          <cell r="F140">
            <v>4.0154745627901819E-2</v>
          </cell>
        </row>
        <row r="141">
          <cell r="A141" t="str">
            <v>St. Vincent &amp; the Grenadines</v>
          </cell>
          <cell r="B141" t="str">
            <v>Caribbean</v>
          </cell>
          <cell r="C141" t="str">
            <v>B3</v>
          </cell>
          <cell r="D141">
            <v>6.4371549301595152E-2</v>
          </cell>
          <cell r="E141">
            <v>0.13004052473527228</v>
          </cell>
          <cell r="F141">
            <v>8.6740524735272273E-2</v>
          </cell>
        </row>
        <row r="142">
          <cell r="A142" t="str">
            <v>Suriname</v>
          </cell>
          <cell r="B142" t="str">
            <v>Central and South America</v>
          </cell>
          <cell r="C142" t="str">
            <v>Caa1</v>
          </cell>
          <cell r="D142">
            <v>7.4265910405818647E-2</v>
          </cell>
          <cell r="E142">
            <v>0.14337315511953655</v>
          </cell>
          <cell r="F142">
            <v>0.10007315511953656</v>
          </cell>
        </row>
        <row r="143">
          <cell r="A143" t="str">
            <v>Swaziland</v>
          </cell>
          <cell r="B143" t="str">
            <v>Africa</v>
          </cell>
          <cell r="C143" t="str">
            <v>B2</v>
          </cell>
          <cell r="D143">
            <v>5.4477188197371677E-2</v>
          </cell>
          <cell r="E143">
            <v>0.11670789435100801</v>
          </cell>
          <cell r="F143">
            <v>7.3407894351008016E-2</v>
          </cell>
        </row>
        <row r="144">
          <cell r="A144" t="str">
            <v>Sweden</v>
          </cell>
          <cell r="B144" t="str">
            <v>Western Europe</v>
          </cell>
          <cell r="C144" t="str">
            <v>Aaa</v>
          </cell>
          <cell r="D144">
            <v>0</v>
          </cell>
          <cell r="E144">
            <v>4.3299999999999998E-2</v>
          </cell>
          <cell r="F144">
            <v>0</v>
          </cell>
        </row>
        <row r="145">
          <cell r="A145" t="str">
            <v>Switzerland</v>
          </cell>
          <cell r="B145" t="str">
            <v>Western Europe</v>
          </cell>
          <cell r="C145" t="str">
            <v>Aaa</v>
          </cell>
          <cell r="D145">
            <v>0</v>
          </cell>
          <cell r="E145">
            <v>4.3299999999999998E-2</v>
          </cell>
          <cell r="F145">
            <v>0</v>
          </cell>
        </row>
        <row r="146">
          <cell r="A146" t="str">
            <v>Taiwan</v>
          </cell>
          <cell r="B146" t="str">
            <v>Asia</v>
          </cell>
          <cell r="C146" t="str">
            <v>Aa3</v>
          </cell>
          <cell r="D146">
            <v>5.9366166625340932E-3</v>
          </cell>
          <cell r="E146">
            <v>5.1299578230558564E-2</v>
          </cell>
          <cell r="F146">
            <v>7.9995782305585655E-3</v>
          </cell>
        </row>
        <row r="147">
          <cell r="A147" t="str">
            <v>Tajikistan</v>
          </cell>
          <cell r="B147" t="str">
            <v>Eastern Europe &amp; Russia</v>
          </cell>
          <cell r="C147" t="str">
            <v>B3</v>
          </cell>
          <cell r="D147">
            <v>6.4371549301595152E-2</v>
          </cell>
          <cell r="E147">
            <v>0.13004052473527228</v>
          </cell>
          <cell r="F147">
            <v>8.6740524735272273E-2</v>
          </cell>
        </row>
        <row r="148">
          <cell r="A148" t="str">
            <v>Tanzania</v>
          </cell>
          <cell r="B148" t="str">
            <v>Africa</v>
          </cell>
          <cell r="C148" t="str">
            <v>B1</v>
          </cell>
          <cell r="D148">
            <v>4.4582827093148182E-2</v>
          </cell>
          <cell r="E148">
            <v>0.10337526396674374</v>
          </cell>
          <cell r="F148">
            <v>6.007526396674373E-2</v>
          </cell>
        </row>
        <row r="149">
          <cell r="A149" t="str">
            <v>Thailand</v>
          </cell>
          <cell r="B149" t="str">
            <v>Asia</v>
          </cell>
          <cell r="C149" t="str">
            <v>Baa1</v>
          </cell>
          <cell r="D149">
            <v>1.5830977766757577E-2</v>
          </cell>
          <cell r="E149">
            <v>6.4632208614822828E-2</v>
          </cell>
          <cell r="F149">
            <v>2.1332208614822837E-2</v>
          </cell>
        </row>
        <row r="150">
          <cell r="A150" t="str">
            <v>Togo</v>
          </cell>
          <cell r="B150" t="str">
            <v>Africa</v>
          </cell>
          <cell r="C150" t="str">
            <v>B3</v>
          </cell>
          <cell r="D150">
            <v>6.4371549301595152E-2</v>
          </cell>
          <cell r="E150">
            <v>0.13004052473527228</v>
          </cell>
          <cell r="F150">
            <v>8.6740524735272273E-2</v>
          </cell>
        </row>
        <row r="151">
          <cell r="A151" t="str">
            <v>Trinidad and Tobago</v>
          </cell>
          <cell r="B151" t="str">
            <v>Caribbean</v>
          </cell>
          <cell r="C151" t="str">
            <v>Ba2</v>
          </cell>
          <cell r="D151">
            <v>2.9799487560955448E-2</v>
          </cell>
          <cell r="E151">
            <v>8.3454745627901811E-2</v>
          </cell>
          <cell r="F151">
            <v>4.0154745627901819E-2</v>
          </cell>
        </row>
        <row r="152">
          <cell r="A152" t="str">
            <v>Tunisia</v>
          </cell>
          <cell r="B152" t="str">
            <v>Africa</v>
          </cell>
          <cell r="C152" t="str">
            <v>Caa2</v>
          </cell>
          <cell r="D152">
            <v>8.9165654186296364E-2</v>
          </cell>
          <cell r="E152">
            <v>0.16345052793348747</v>
          </cell>
          <cell r="F152">
            <v>0.12015052793348746</v>
          </cell>
        </row>
        <row r="153">
          <cell r="A153" t="str">
            <v>Turkey</v>
          </cell>
          <cell r="B153" t="str">
            <v>Western Europe</v>
          </cell>
          <cell r="C153" t="str">
            <v>B1</v>
          </cell>
          <cell r="D153">
            <v>4.4582827093148182E-2</v>
          </cell>
          <cell r="E153">
            <v>0.10337526396674374</v>
          </cell>
          <cell r="F153">
            <v>6.007526396674373E-2</v>
          </cell>
        </row>
        <row r="154">
          <cell r="A154" t="str">
            <v>Turks and Caicos Islands</v>
          </cell>
          <cell r="B154" t="str">
            <v>Caribbean</v>
          </cell>
          <cell r="C154" t="str">
            <v>Baa1</v>
          </cell>
          <cell r="D154">
            <v>1.5830977766757577E-2</v>
          </cell>
          <cell r="E154">
            <v>6.4632208614822828E-2</v>
          </cell>
          <cell r="F154">
            <v>2.1332208614822837E-2</v>
          </cell>
        </row>
        <row r="155">
          <cell r="A155" t="str">
            <v>Uganda</v>
          </cell>
          <cell r="B155" t="str">
            <v>Africa</v>
          </cell>
          <cell r="C155" t="str">
            <v>B3</v>
          </cell>
          <cell r="D155">
            <v>6.4371549301595152E-2</v>
          </cell>
          <cell r="E155">
            <v>0.13004052473527228</v>
          </cell>
          <cell r="F155">
            <v>8.6740524735272273E-2</v>
          </cell>
        </row>
        <row r="156">
          <cell r="A156" t="str">
            <v>Ukraine</v>
          </cell>
          <cell r="B156" t="str">
            <v>Eastern Europe &amp; Russia</v>
          </cell>
          <cell r="C156" t="str">
            <v>Ca</v>
          </cell>
          <cell r="D156">
            <v>0.11884873749896685</v>
          </cell>
          <cell r="E156">
            <v>0.20344841908628034</v>
          </cell>
          <cell r="F156">
            <v>0.16014841908628033</v>
          </cell>
        </row>
        <row r="157">
          <cell r="A157" t="str">
            <v>United Arab Emirates</v>
          </cell>
          <cell r="B157" t="str">
            <v>Middle East</v>
          </cell>
          <cell r="C157" t="str">
            <v>Aa2</v>
          </cell>
          <cell r="D157">
            <v>4.8889784279692525E-3</v>
          </cell>
          <cell r="E157">
            <v>4.9887887954577638E-2</v>
          </cell>
          <cell r="F157">
            <v>6.5878879545776415E-3</v>
          </cell>
        </row>
        <row r="158">
          <cell r="A158" t="str">
            <v>United Kingdom</v>
          </cell>
          <cell r="B158" t="str">
            <v>Western Europe</v>
          </cell>
          <cell r="C158" t="str">
            <v>Aa3</v>
          </cell>
          <cell r="D158">
            <v>5.9366166625340932E-3</v>
          </cell>
          <cell r="E158">
            <v>5.1299578230558564E-2</v>
          </cell>
          <cell r="F158">
            <v>7.9995782305585655E-3</v>
          </cell>
        </row>
        <row r="159">
          <cell r="A159" t="str">
            <v>United States</v>
          </cell>
          <cell r="B159" t="str">
            <v>North America</v>
          </cell>
          <cell r="C159" t="str">
            <v>Aaa</v>
          </cell>
          <cell r="D159">
            <v>0</v>
          </cell>
          <cell r="E159">
            <v>4.3299999999999998E-2</v>
          </cell>
          <cell r="F159">
            <v>0</v>
          </cell>
        </row>
        <row r="160">
          <cell r="A160" t="str">
            <v>Uruguay</v>
          </cell>
          <cell r="B160" t="str">
            <v>Central and South America</v>
          </cell>
          <cell r="C160" t="str">
            <v>Baa1</v>
          </cell>
          <cell r="D160">
            <v>1.5830977766757577E-2</v>
          </cell>
          <cell r="E160">
            <v>6.4632208614822828E-2</v>
          </cell>
          <cell r="F160">
            <v>2.1332208614822837E-2</v>
          </cell>
        </row>
        <row r="161">
          <cell r="A161" t="str">
            <v>Uzbekistan</v>
          </cell>
          <cell r="B161" t="str">
            <v>Eastern Europe &amp; Russia</v>
          </cell>
          <cell r="C161" t="str">
            <v>Ba3</v>
          </cell>
          <cell r="D161">
            <v>3.5619699975204554E-2</v>
          </cell>
          <cell r="E161">
            <v>9.1297469383351385E-2</v>
          </cell>
          <cell r="F161">
            <v>4.7997469383351386E-2</v>
          </cell>
        </row>
        <row r="162">
          <cell r="A162" t="str">
            <v>Venezuela</v>
          </cell>
          <cell r="B162" t="str">
            <v>Central and South America</v>
          </cell>
          <cell r="C162" t="str">
            <v>C</v>
          </cell>
          <cell r="D162">
            <v>0.17499999999999999</v>
          </cell>
          <cell r="E162">
            <v>0.27911212497392057</v>
          </cell>
          <cell r="F162">
            <v>0.23581212497392059</v>
          </cell>
        </row>
        <row r="163">
          <cell r="A163" t="str">
            <v>Vietnam</v>
          </cell>
          <cell r="B163" t="str">
            <v>Asia</v>
          </cell>
          <cell r="C163" t="str">
            <v>Ba2</v>
          </cell>
          <cell r="D163">
            <v>2.9799487560955448E-2</v>
          </cell>
          <cell r="E163">
            <v>8.3454745627901811E-2</v>
          </cell>
          <cell r="F163">
            <v>4.0154745627901819E-2</v>
          </cell>
        </row>
        <row r="164">
          <cell r="A164" t="str">
            <v>Zambia</v>
          </cell>
          <cell r="B164" t="str">
            <v>Africa</v>
          </cell>
          <cell r="C164" t="str">
            <v>Caa2</v>
          </cell>
          <cell r="D164">
            <v>8.9165654186296364E-2</v>
          </cell>
          <cell r="E164">
            <v>0.16345052793348747</v>
          </cell>
          <cell r="F164">
            <v>0.12015052793348746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Abu Dhabi</v>
          </cell>
          <cell r="B2">
            <v>0.15</v>
          </cell>
        </row>
        <row r="3">
          <cell r="A3" t="str">
            <v>Albania</v>
          </cell>
          <cell r="B3">
            <v>0.15</v>
          </cell>
        </row>
        <row r="4">
          <cell r="A4" t="str">
            <v>Andorra (Principality of)</v>
          </cell>
          <cell r="B4">
            <v>0.1898</v>
          </cell>
        </row>
        <row r="5">
          <cell r="A5" t="str">
            <v>Angola</v>
          </cell>
          <cell r="B5">
            <v>0.25</v>
          </cell>
        </row>
        <row r="6">
          <cell r="A6" t="str">
            <v>Argentina</v>
          </cell>
          <cell r="B6">
            <v>0.35</v>
          </cell>
        </row>
        <row r="7">
          <cell r="A7" t="str">
            <v>Armenia</v>
          </cell>
          <cell r="B7">
            <v>0.18</v>
          </cell>
        </row>
        <row r="8">
          <cell r="A8" t="str">
            <v>Aruba</v>
          </cell>
          <cell r="B8">
            <v>0.25</v>
          </cell>
        </row>
        <row r="9">
          <cell r="A9" t="str">
            <v>Australia</v>
          </cell>
          <cell r="B9">
            <v>0.3</v>
          </cell>
        </row>
        <row r="10">
          <cell r="A10" t="str">
            <v>Austria</v>
          </cell>
          <cell r="B10">
            <v>0.24</v>
          </cell>
        </row>
        <row r="11">
          <cell r="A11" t="str">
            <v>Azerbaijan</v>
          </cell>
          <cell r="B11">
            <v>0.2</v>
          </cell>
        </row>
        <row r="12">
          <cell r="A12" t="str">
            <v>Bahamas</v>
          </cell>
          <cell r="B12">
            <v>0</v>
          </cell>
        </row>
        <row r="13">
          <cell r="A13" t="str">
            <v>Bahrain</v>
          </cell>
          <cell r="B13">
            <v>0</v>
          </cell>
        </row>
        <row r="14">
          <cell r="A14" t="str">
            <v>Bangladesh</v>
          </cell>
          <cell r="B14">
            <v>0.3</v>
          </cell>
        </row>
        <row r="15">
          <cell r="A15" t="str">
            <v>Barbados</v>
          </cell>
          <cell r="B15">
            <v>5.5E-2</v>
          </cell>
        </row>
        <row r="16">
          <cell r="A16" t="str">
            <v>Belarus</v>
          </cell>
          <cell r="B16">
            <v>0.18</v>
          </cell>
        </row>
        <row r="17">
          <cell r="A17" t="str">
            <v>Belgium</v>
          </cell>
          <cell r="B17">
            <v>0.25</v>
          </cell>
        </row>
        <row r="18">
          <cell r="A18" t="str">
            <v>Belize</v>
          </cell>
          <cell r="B18">
            <v>0.2853</v>
          </cell>
        </row>
        <row r="19">
          <cell r="A19" t="str">
            <v>Benin</v>
          </cell>
          <cell r="B19">
            <v>0.3</v>
          </cell>
        </row>
        <row r="20">
          <cell r="A20" t="str">
            <v>Bermuda</v>
          </cell>
          <cell r="B20">
            <v>0</v>
          </cell>
        </row>
        <row r="21">
          <cell r="A21" t="str">
            <v>Bolivia</v>
          </cell>
          <cell r="B21">
            <v>0.25</v>
          </cell>
        </row>
        <row r="22">
          <cell r="A22" t="str">
            <v>Bosnia and Herzegovina</v>
          </cell>
          <cell r="B22">
            <v>0.1</v>
          </cell>
        </row>
        <row r="23">
          <cell r="A23" t="str">
            <v>Botswana</v>
          </cell>
          <cell r="B23">
            <v>0.22</v>
          </cell>
        </row>
        <row r="24">
          <cell r="A24" t="str">
            <v>Brazil</v>
          </cell>
          <cell r="B24">
            <v>0.34</v>
          </cell>
        </row>
        <row r="25">
          <cell r="A25" t="str">
            <v>Bulgaria</v>
          </cell>
          <cell r="B25">
            <v>0.1</v>
          </cell>
        </row>
        <row r="26">
          <cell r="A26" t="str">
            <v>Burkina Faso</v>
          </cell>
          <cell r="B26">
            <v>0.28000000000000003</v>
          </cell>
        </row>
        <row r="27">
          <cell r="A27" t="str">
            <v>Cambodia</v>
          </cell>
          <cell r="B27">
            <v>0.2</v>
          </cell>
        </row>
        <row r="28">
          <cell r="A28" t="str">
            <v>Cameroon</v>
          </cell>
          <cell r="B28">
            <v>0.33</v>
          </cell>
        </row>
        <row r="29">
          <cell r="A29" t="str">
            <v>Canada</v>
          </cell>
          <cell r="B29">
            <v>0.26500000000000001</v>
          </cell>
        </row>
        <row r="30">
          <cell r="A30" t="str">
            <v>Cape Verde</v>
          </cell>
          <cell r="B30">
            <v>0</v>
          </cell>
        </row>
        <row r="31">
          <cell r="A31" t="str">
            <v>Cayman Islands</v>
          </cell>
          <cell r="B31">
            <v>0</v>
          </cell>
        </row>
        <row r="32">
          <cell r="A32" t="str">
            <v>Chile</v>
          </cell>
          <cell r="B32">
            <v>0.27</v>
          </cell>
        </row>
        <row r="33">
          <cell r="A33" t="str">
            <v>China</v>
          </cell>
          <cell r="B33">
            <v>0.25</v>
          </cell>
        </row>
        <row r="34">
          <cell r="A34" t="str">
            <v>Colombia</v>
          </cell>
          <cell r="B34">
            <v>0.35</v>
          </cell>
        </row>
        <row r="35">
          <cell r="A35" t="str">
            <v>Congo (Democratic Republic of)</v>
          </cell>
          <cell r="B35">
            <v>0.3</v>
          </cell>
        </row>
        <row r="36">
          <cell r="A36" t="str">
            <v>Congo (Republic of)</v>
          </cell>
          <cell r="B36">
            <v>0.28000000000000003</v>
          </cell>
        </row>
        <row r="37">
          <cell r="A37" t="str">
            <v>Cook Islands</v>
          </cell>
          <cell r="B37">
            <v>0.2974</v>
          </cell>
        </row>
        <row r="38">
          <cell r="A38" t="str">
            <v>Costa Rica</v>
          </cell>
          <cell r="B38">
            <v>0.3</v>
          </cell>
        </row>
        <row r="39">
          <cell r="A39" t="str">
            <v>Côte d'Ivoire</v>
          </cell>
          <cell r="B39">
            <v>0.25</v>
          </cell>
        </row>
        <row r="40">
          <cell r="A40" t="str">
            <v>Croatia</v>
          </cell>
          <cell r="B40">
            <v>0.18</v>
          </cell>
        </row>
        <row r="41">
          <cell r="A41" t="str">
            <v>Cuba</v>
          </cell>
          <cell r="B41">
            <v>0.2853</v>
          </cell>
        </row>
        <row r="42">
          <cell r="A42" t="str">
            <v>Curacao</v>
          </cell>
          <cell r="B42">
            <v>0.22</v>
          </cell>
        </row>
        <row r="43">
          <cell r="A43" t="str">
            <v>Cyprus</v>
          </cell>
          <cell r="B43">
            <v>0.125</v>
          </cell>
        </row>
        <row r="44">
          <cell r="A44" t="str">
            <v>Czech Republic</v>
          </cell>
          <cell r="B44">
            <v>0.19</v>
          </cell>
        </row>
        <row r="45">
          <cell r="A45" t="str">
            <v>Denmark</v>
          </cell>
          <cell r="B45">
            <v>0.22</v>
          </cell>
        </row>
        <row r="46">
          <cell r="A46" t="str">
            <v>Dominican Republic</v>
          </cell>
          <cell r="B46">
            <v>0.27</v>
          </cell>
        </row>
        <row r="47">
          <cell r="A47" t="str">
            <v>Ecuador</v>
          </cell>
          <cell r="B47">
            <v>0.25</v>
          </cell>
        </row>
        <row r="48">
          <cell r="A48" t="str">
            <v>Egypt</v>
          </cell>
          <cell r="B48">
            <v>0.22500000000000001</v>
          </cell>
        </row>
        <row r="49">
          <cell r="A49" t="str">
            <v>El Salvador</v>
          </cell>
          <cell r="B49">
            <v>0.3</v>
          </cell>
        </row>
        <row r="50">
          <cell r="A50" t="str">
            <v>Estonia</v>
          </cell>
          <cell r="B50">
            <v>0.2</v>
          </cell>
        </row>
        <row r="51">
          <cell r="A51" t="str">
            <v>Ethiopia</v>
          </cell>
          <cell r="B51">
            <v>0.3</v>
          </cell>
        </row>
        <row r="52">
          <cell r="A52" t="str">
            <v>Fiji</v>
          </cell>
          <cell r="B52">
            <v>0.2</v>
          </cell>
        </row>
        <row r="53">
          <cell r="A53" t="str">
            <v>Finland</v>
          </cell>
          <cell r="B53">
            <v>0.2</v>
          </cell>
        </row>
        <row r="54">
          <cell r="A54" t="str">
            <v>France</v>
          </cell>
          <cell r="B54">
            <v>0.25</v>
          </cell>
        </row>
        <row r="55">
          <cell r="A55" t="str">
            <v>Gabon</v>
          </cell>
          <cell r="B55">
            <v>0.3</v>
          </cell>
        </row>
        <row r="56">
          <cell r="A56" t="str">
            <v>Georgia</v>
          </cell>
          <cell r="B56">
            <v>0.15</v>
          </cell>
        </row>
        <row r="57">
          <cell r="A57" t="str">
            <v>Germany</v>
          </cell>
          <cell r="B57">
            <v>0.3</v>
          </cell>
        </row>
        <row r="58">
          <cell r="A58" t="str">
            <v>Ghana</v>
          </cell>
          <cell r="B58">
            <v>0.25</v>
          </cell>
        </row>
        <row r="59">
          <cell r="A59" t="str">
            <v>Greece</v>
          </cell>
          <cell r="B59">
            <v>0.22</v>
          </cell>
        </row>
        <row r="60">
          <cell r="A60" t="str">
            <v>Guatemala</v>
          </cell>
          <cell r="B60">
            <v>0.25</v>
          </cell>
        </row>
        <row r="61">
          <cell r="A61" t="str">
            <v>Guernsey (States of)</v>
          </cell>
          <cell r="B61">
            <v>0</v>
          </cell>
        </row>
        <row r="62">
          <cell r="A62" t="str">
            <v>Honduras</v>
          </cell>
          <cell r="B62">
            <v>0.25</v>
          </cell>
        </row>
        <row r="63">
          <cell r="A63" t="str">
            <v>Hong Kong</v>
          </cell>
          <cell r="B63">
            <v>0.16500000000000001</v>
          </cell>
        </row>
        <row r="64">
          <cell r="A64" t="str">
            <v>Hungary</v>
          </cell>
          <cell r="B64">
            <v>0.09</v>
          </cell>
        </row>
        <row r="65">
          <cell r="A65" t="str">
            <v>Iceland</v>
          </cell>
          <cell r="B65">
            <v>0.2</v>
          </cell>
        </row>
        <row r="66">
          <cell r="A66" t="str">
            <v>India</v>
          </cell>
          <cell r="B66">
            <v>0.3</v>
          </cell>
        </row>
        <row r="67">
          <cell r="A67" t="str">
            <v>Indonesia</v>
          </cell>
          <cell r="B67">
            <v>0.22</v>
          </cell>
        </row>
        <row r="68">
          <cell r="A68" t="str">
            <v>Iraq</v>
          </cell>
          <cell r="B68">
            <v>0.15</v>
          </cell>
        </row>
        <row r="69">
          <cell r="A69" t="str">
            <v>Ireland</v>
          </cell>
          <cell r="B69">
            <v>0.125</v>
          </cell>
        </row>
        <row r="70">
          <cell r="A70" t="str">
            <v>Isle of Man</v>
          </cell>
          <cell r="B70">
            <v>0</v>
          </cell>
        </row>
        <row r="71">
          <cell r="A71" t="str">
            <v>Israel</v>
          </cell>
          <cell r="B71">
            <v>0.23</v>
          </cell>
        </row>
        <row r="72">
          <cell r="A72" t="str">
            <v>Italy</v>
          </cell>
          <cell r="B72">
            <v>0.24</v>
          </cell>
        </row>
        <row r="73">
          <cell r="A73" t="str">
            <v>Jamaica</v>
          </cell>
          <cell r="B73">
            <v>0.25</v>
          </cell>
        </row>
        <row r="74">
          <cell r="A74" t="str">
            <v>Japan</v>
          </cell>
          <cell r="B74">
            <v>0.30620000000000003</v>
          </cell>
        </row>
        <row r="75">
          <cell r="A75" t="str">
            <v>Jersey (States of)</v>
          </cell>
          <cell r="B75">
            <v>0</v>
          </cell>
        </row>
        <row r="76">
          <cell r="A76" t="str">
            <v>Jordan</v>
          </cell>
          <cell r="B76">
            <v>0.2</v>
          </cell>
        </row>
        <row r="77">
          <cell r="A77" t="str">
            <v>Kazakhstan</v>
          </cell>
          <cell r="B77">
            <v>0.2</v>
          </cell>
        </row>
        <row r="78">
          <cell r="A78" t="str">
            <v>Kenya</v>
          </cell>
          <cell r="B78">
            <v>0.3</v>
          </cell>
        </row>
        <row r="79">
          <cell r="A79" t="str">
            <v>Korea</v>
          </cell>
          <cell r="B79">
            <v>0.25</v>
          </cell>
        </row>
        <row r="80">
          <cell r="A80" t="str">
            <v>Kuwait</v>
          </cell>
          <cell r="B80">
            <v>0.15</v>
          </cell>
        </row>
        <row r="81">
          <cell r="A81" t="str">
            <v>Kyrgyzstan</v>
          </cell>
          <cell r="B81">
            <v>0.1</v>
          </cell>
        </row>
        <row r="82">
          <cell r="A82" t="str">
            <v>Laos</v>
          </cell>
          <cell r="B82">
            <v>0.26860000000000001</v>
          </cell>
        </row>
        <row r="83">
          <cell r="A83" t="str">
            <v>Latvia</v>
          </cell>
          <cell r="B83">
            <v>0.2</v>
          </cell>
        </row>
        <row r="84">
          <cell r="A84" t="str">
            <v>Lebanon</v>
          </cell>
          <cell r="B84">
            <v>0.17</v>
          </cell>
        </row>
        <row r="85">
          <cell r="A85" t="str">
            <v>Liechtenstein</v>
          </cell>
          <cell r="B85">
            <v>0.125</v>
          </cell>
        </row>
        <row r="86">
          <cell r="A86" t="str">
            <v>Lithuania</v>
          </cell>
          <cell r="B86">
            <v>0.15</v>
          </cell>
        </row>
        <row r="87">
          <cell r="A87" t="str">
            <v>Luxembourg</v>
          </cell>
          <cell r="B87">
            <v>0.24940000000000001</v>
          </cell>
        </row>
        <row r="88">
          <cell r="A88" t="str">
            <v>Macao</v>
          </cell>
          <cell r="B88">
            <v>0.26860000000000001</v>
          </cell>
        </row>
        <row r="89">
          <cell r="A89" t="str">
            <v>Macedonia</v>
          </cell>
          <cell r="B89">
            <v>0.1</v>
          </cell>
        </row>
        <row r="90">
          <cell r="A90" t="str">
            <v>Malaysia</v>
          </cell>
          <cell r="B90">
            <v>0.24</v>
          </cell>
        </row>
        <row r="91">
          <cell r="A91" t="str">
            <v>Maldives</v>
          </cell>
          <cell r="B91">
            <v>0.26860000000000001</v>
          </cell>
        </row>
        <row r="92">
          <cell r="A92" t="str">
            <v>Mali</v>
          </cell>
          <cell r="B92">
            <v>0.26860000000000001</v>
          </cell>
        </row>
        <row r="93">
          <cell r="A93" t="str">
            <v>Malta</v>
          </cell>
          <cell r="B93">
            <v>0.35</v>
          </cell>
        </row>
        <row r="94">
          <cell r="A94" t="str">
            <v>Mauritius</v>
          </cell>
          <cell r="B94">
            <v>0.15</v>
          </cell>
        </row>
        <row r="95">
          <cell r="A95" t="str">
            <v>Mexico</v>
          </cell>
          <cell r="B95">
            <v>0.3</v>
          </cell>
        </row>
        <row r="96">
          <cell r="A96" t="str">
            <v>Moldova</v>
          </cell>
          <cell r="B96">
            <v>0.12</v>
          </cell>
        </row>
        <row r="97">
          <cell r="A97" t="str">
            <v>Mongolia</v>
          </cell>
          <cell r="B97">
            <v>0.25</v>
          </cell>
        </row>
        <row r="98">
          <cell r="A98" t="str">
            <v>Montenegro</v>
          </cell>
          <cell r="B98">
            <v>0.15</v>
          </cell>
        </row>
        <row r="99">
          <cell r="A99" t="str">
            <v>Montserrat</v>
          </cell>
          <cell r="B99">
            <v>0.2853</v>
          </cell>
        </row>
        <row r="100">
          <cell r="A100" t="str">
            <v>Morocco</v>
          </cell>
          <cell r="B100">
            <v>0.32</v>
          </cell>
        </row>
        <row r="101">
          <cell r="A101" t="str">
            <v>Mozambique</v>
          </cell>
          <cell r="B101">
            <v>0.32</v>
          </cell>
        </row>
        <row r="102">
          <cell r="A102" t="str">
            <v>Namibia</v>
          </cell>
          <cell r="B102">
            <v>0.32</v>
          </cell>
        </row>
        <row r="103">
          <cell r="A103" t="str">
            <v>Nepal</v>
          </cell>
          <cell r="B103">
            <v>0.25</v>
          </cell>
        </row>
        <row r="104">
          <cell r="A104" t="str">
            <v>Netherlands</v>
          </cell>
          <cell r="B104">
            <v>0.25800000000000001</v>
          </cell>
        </row>
        <row r="105">
          <cell r="A105" t="str">
            <v>New Zealand</v>
          </cell>
          <cell r="B105">
            <v>0.28000000000000003</v>
          </cell>
        </row>
        <row r="106">
          <cell r="A106" t="str">
            <v>Nicaragua</v>
          </cell>
          <cell r="B106">
            <v>0.3</v>
          </cell>
        </row>
        <row r="107">
          <cell r="A107" t="str">
            <v>Niger</v>
          </cell>
          <cell r="B107">
            <v>0.26860000000000001</v>
          </cell>
        </row>
        <row r="108">
          <cell r="A108" t="str">
            <v>Nigeria</v>
          </cell>
          <cell r="B108">
            <v>0.3</v>
          </cell>
        </row>
        <row r="109">
          <cell r="A109" t="str">
            <v>Norway</v>
          </cell>
          <cell r="B109">
            <v>0.22</v>
          </cell>
        </row>
        <row r="110">
          <cell r="A110" t="str">
            <v>Oman</v>
          </cell>
          <cell r="B110">
            <v>0.15</v>
          </cell>
        </row>
        <row r="111">
          <cell r="A111" t="str">
            <v>Pakistan</v>
          </cell>
          <cell r="B111">
            <v>0.28999999999999998</v>
          </cell>
        </row>
        <row r="112">
          <cell r="A112" t="str">
            <v>Panama</v>
          </cell>
          <cell r="B112">
            <v>0.25</v>
          </cell>
        </row>
        <row r="113">
          <cell r="A113" t="str">
            <v>Papua New Guinea</v>
          </cell>
          <cell r="B113">
            <v>0.3</v>
          </cell>
        </row>
        <row r="114">
          <cell r="A114" t="str">
            <v>Paraguay</v>
          </cell>
          <cell r="B114">
            <v>0.1</v>
          </cell>
        </row>
        <row r="115">
          <cell r="A115" t="str">
            <v>Peru</v>
          </cell>
          <cell r="B115">
            <v>0.29499999999999998</v>
          </cell>
        </row>
        <row r="116">
          <cell r="A116" t="str">
            <v>Philippines</v>
          </cell>
          <cell r="B116">
            <v>0.25</v>
          </cell>
        </row>
        <row r="117">
          <cell r="A117" t="str">
            <v>Poland</v>
          </cell>
          <cell r="B117">
            <v>0.19</v>
          </cell>
        </row>
        <row r="118">
          <cell r="A118" t="str">
            <v>Portugal</v>
          </cell>
          <cell r="B118">
            <v>0.21</v>
          </cell>
        </row>
        <row r="119">
          <cell r="A119" t="str">
            <v>Qatar</v>
          </cell>
          <cell r="B119">
            <v>0.1</v>
          </cell>
        </row>
        <row r="120">
          <cell r="A120" t="str">
            <v>Ras Al Khaimah (Emirate of)</v>
          </cell>
          <cell r="B120">
            <v>0</v>
          </cell>
        </row>
        <row r="121">
          <cell r="A121" t="str">
            <v>Romania</v>
          </cell>
          <cell r="B121">
            <v>0.16</v>
          </cell>
        </row>
        <row r="122">
          <cell r="A122" t="str">
            <v>Russia</v>
          </cell>
          <cell r="B122">
            <v>0.25</v>
          </cell>
        </row>
        <row r="123">
          <cell r="A123" t="str">
            <v>Rwanda</v>
          </cell>
          <cell r="B123">
            <v>0.3</v>
          </cell>
        </row>
        <row r="124">
          <cell r="A124" t="str">
            <v>Saudi Arabia</v>
          </cell>
          <cell r="B124">
            <v>0.2</v>
          </cell>
        </row>
        <row r="125">
          <cell r="A125" t="str">
            <v>Senegal</v>
          </cell>
          <cell r="B125">
            <v>0.3</v>
          </cell>
        </row>
        <row r="126">
          <cell r="A126" t="str">
            <v>Serbia</v>
          </cell>
          <cell r="B126">
            <v>0.15</v>
          </cell>
        </row>
        <row r="127">
          <cell r="A127" t="str">
            <v>Sharjah</v>
          </cell>
          <cell r="B127">
            <v>0</v>
          </cell>
        </row>
        <row r="128">
          <cell r="A128" t="str">
            <v>Singapore</v>
          </cell>
          <cell r="B128">
            <v>0.17</v>
          </cell>
        </row>
        <row r="129">
          <cell r="A129" t="str">
            <v>Slovakia</v>
          </cell>
          <cell r="B129">
            <v>0.21</v>
          </cell>
        </row>
        <row r="130">
          <cell r="A130" t="str">
            <v>Slovenia</v>
          </cell>
          <cell r="B130">
            <v>0.19</v>
          </cell>
        </row>
        <row r="131">
          <cell r="A131" t="str">
            <v>Solomon Islands</v>
          </cell>
          <cell r="B131">
            <v>0.3</v>
          </cell>
        </row>
        <row r="132">
          <cell r="A132" t="str">
            <v>South Africa</v>
          </cell>
          <cell r="B132">
            <v>0.27</v>
          </cell>
        </row>
        <row r="133">
          <cell r="A133" t="str">
            <v>Spain</v>
          </cell>
          <cell r="B133">
            <v>0.25</v>
          </cell>
        </row>
        <row r="134">
          <cell r="A134" t="str">
            <v>Sri Lanka</v>
          </cell>
          <cell r="B134">
            <v>0.24</v>
          </cell>
        </row>
        <row r="135">
          <cell r="A135" t="str">
            <v>St. Maarten</v>
          </cell>
          <cell r="B135">
            <v>0.2853</v>
          </cell>
        </row>
        <row r="136">
          <cell r="A136" t="str">
            <v>St. Vincent &amp; the Grenadines</v>
          </cell>
          <cell r="B136">
            <v>0.2853</v>
          </cell>
        </row>
        <row r="137">
          <cell r="A137" t="str">
            <v>Suriname</v>
          </cell>
          <cell r="B137">
            <v>0.36</v>
          </cell>
        </row>
        <row r="138">
          <cell r="A138" t="str">
            <v>Swaziland</v>
          </cell>
          <cell r="B138">
            <v>0.27500000000000002</v>
          </cell>
        </row>
        <row r="139">
          <cell r="A139" t="str">
            <v>Sweden</v>
          </cell>
          <cell r="B139">
            <v>0.20600000000000002</v>
          </cell>
        </row>
        <row r="140">
          <cell r="A140" t="str">
            <v>Switzerland</v>
          </cell>
          <cell r="B140">
            <v>0.14599999999999999</v>
          </cell>
        </row>
        <row r="141">
          <cell r="A141" t="str">
            <v>Taiwan</v>
          </cell>
          <cell r="B141">
            <v>0.2</v>
          </cell>
        </row>
        <row r="142">
          <cell r="A142" t="str">
            <v>Tajikistan</v>
          </cell>
          <cell r="B142">
            <v>0.18</v>
          </cell>
        </row>
        <row r="143">
          <cell r="A143" t="str">
            <v>Tanzania</v>
          </cell>
          <cell r="B143">
            <v>0.3</v>
          </cell>
        </row>
        <row r="144">
          <cell r="A144" t="str">
            <v>Thailand</v>
          </cell>
          <cell r="B144">
            <v>0.2</v>
          </cell>
        </row>
        <row r="145">
          <cell r="A145" t="str">
            <v>Togo</v>
          </cell>
          <cell r="B145">
            <v>0.26860000000000001</v>
          </cell>
        </row>
        <row r="146">
          <cell r="A146" t="str">
            <v>Trinidad and Tobago</v>
          </cell>
          <cell r="B146">
            <v>0.3</v>
          </cell>
        </row>
        <row r="147">
          <cell r="A147" t="str">
            <v>Tunisia</v>
          </cell>
          <cell r="B147">
            <v>0.15</v>
          </cell>
        </row>
        <row r="148">
          <cell r="A148" t="str">
            <v>Turkey</v>
          </cell>
          <cell r="B148">
            <v>0.25</v>
          </cell>
        </row>
        <row r="149">
          <cell r="A149" t="str">
            <v>Turks and Caicos Islands</v>
          </cell>
          <cell r="B149">
            <v>0</v>
          </cell>
        </row>
        <row r="150">
          <cell r="A150" t="str">
            <v>Uganda</v>
          </cell>
          <cell r="B150">
            <v>0.3</v>
          </cell>
        </row>
        <row r="151">
          <cell r="A151" t="str">
            <v>Ukraine</v>
          </cell>
          <cell r="B151">
            <v>0.18</v>
          </cell>
        </row>
        <row r="152">
          <cell r="A152" t="str">
            <v>United Arab Emirates</v>
          </cell>
          <cell r="B152">
            <v>0.25</v>
          </cell>
        </row>
        <row r="153">
          <cell r="A153" t="str">
            <v>United Kingdom</v>
          </cell>
          <cell r="B153">
            <v>0.25</v>
          </cell>
        </row>
        <row r="154">
          <cell r="A154" t="str">
            <v>United States</v>
          </cell>
          <cell r="B154">
            <v>0.25</v>
          </cell>
        </row>
        <row r="155">
          <cell r="A155" t="str">
            <v>Uruguay</v>
          </cell>
          <cell r="B155">
            <v>0.25</v>
          </cell>
        </row>
        <row r="156">
          <cell r="A156" t="str">
            <v>Uzbekistan</v>
          </cell>
          <cell r="B156">
            <v>0.15</v>
          </cell>
        </row>
        <row r="157">
          <cell r="A157" t="str">
            <v>Venezuela</v>
          </cell>
          <cell r="B157">
            <v>0.34</v>
          </cell>
        </row>
        <row r="158">
          <cell r="A158" t="str">
            <v>Vietnam</v>
          </cell>
          <cell r="B158">
            <v>0.2</v>
          </cell>
        </row>
        <row r="159">
          <cell r="A159" t="str">
            <v>Zambia</v>
          </cell>
          <cell r="B159">
            <v>0.35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workbookViewId="0">
      <selection activeCell="F2" sqref="F2"/>
    </sheetView>
  </sheetViews>
  <sheetFormatPr defaultRowHeight="15.75"/>
  <cols>
    <col min="1" max="1" width="26.85546875" style="3" bestFit="1" customWidth="1"/>
    <col min="2" max="2" width="27.5703125" style="4" bestFit="1" customWidth="1"/>
    <col min="3" max="3" width="22.140625" style="5" customWidth="1"/>
    <col min="4" max="5" width="20.85546875" style="1" customWidth="1"/>
    <col min="6" max="6" width="20.85546875" style="2" customWidth="1"/>
  </cols>
  <sheetData>
    <row r="1" spans="1:6" ht="1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</row>
    <row r="2" spans="1:6" ht="15">
      <c r="A2" s="11" t="str">
        <f>'[1]ERPs by country'!A8</f>
        <v>Abu Dhabi</v>
      </c>
      <c r="B2" s="9">
        <f>VLOOKUP(A2,'[1]ERPs by country'!$A$8:$F$164,5)</f>
        <v>4.9887887954577638E-2</v>
      </c>
      <c r="C2" s="9">
        <f>VLOOKUP(A2,'[1]ERPs by country'!$A$8:$F$164,4)</f>
        <v>4.8889784279692525E-3</v>
      </c>
      <c r="D2" s="9">
        <f>B2</f>
        <v>4.9887887954577638E-2</v>
      </c>
      <c r="E2" s="9">
        <f>VLOOKUP(A2,'[1]Country Tax Rates'!$A$2:$B$159,2)</f>
        <v>0.15</v>
      </c>
      <c r="F2" s="10">
        <f>VLOOKUP(A2,'[1]ERPs by country'!$A$8:$F$164,6)</f>
        <v>6.5878879545776415E-3</v>
      </c>
    </row>
    <row r="3" spans="1:6" ht="15">
      <c r="A3" s="11" t="str">
        <f>'[1]ERPs by country'!A9</f>
        <v>Albania</v>
      </c>
      <c r="B3" s="9">
        <f>VLOOKUP(A3,'[1]ERPs by country'!$A$8:$F$164,5)</f>
        <v>9.1297469383351385E-2</v>
      </c>
      <c r="C3" s="9">
        <f>VLOOKUP(A3,'[1]ERPs by country'!$A$8:$F$164,4)</f>
        <v>3.5619699975204554E-2</v>
      </c>
      <c r="D3" s="9">
        <f t="shared" ref="D3:D66" si="0">B3</f>
        <v>9.1297469383351385E-2</v>
      </c>
      <c r="E3" s="9">
        <f>VLOOKUP(A3,'[1]Country Tax Rates'!$A$2:$B$159,2)</f>
        <v>0.15</v>
      </c>
      <c r="F3" s="10">
        <f>VLOOKUP(A3,'[1]ERPs by country'!$A$8:$F$164,6)</f>
        <v>4.7997469383351386E-2</v>
      </c>
    </row>
    <row r="4" spans="1:6" ht="15">
      <c r="A4" s="11" t="str">
        <f>'[1]ERPs by country'!A10</f>
        <v>Andorra (Principality of)</v>
      </c>
      <c r="B4" s="9">
        <f>VLOOKUP(A4,'[1]ERPs by country'!$A$8:$F$164,5)</f>
        <v>6.4632208614822828E-2</v>
      </c>
      <c r="C4" s="9">
        <f>VLOOKUP(A4,'[1]ERPs by country'!$A$8:$F$164,4)</f>
        <v>1.5830977766757577E-2</v>
      </c>
      <c r="D4" s="9">
        <f t="shared" si="0"/>
        <v>6.4632208614822828E-2</v>
      </c>
      <c r="E4" s="9">
        <f>VLOOKUP(A4,'[1]Country Tax Rates'!$A$2:$B$159,2)</f>
        <v>0.1898</v>
      </c>
      <c r="F4" s="10">
        <f>VLOOKUP(A4,'[1]ERPs by country'!$A$8:$F$164,6)</f>
        <v>2.1332208614822837E-2</v>
      </c>
    </row>
    <row r="5" spans="1:6" ht="15">
      <c r="A5" s="11" t="str">
        <f>'[1]ERPs by country'!A11</f>
        <v>Angola</v>
      </c>
      <c r="B5" s="9">
        <f>VLOOKUP(A5,'[1]ERPs by country'!$A$8:$F$164,5)</f>
        <v>0.13004052473527228</v>
      </c>
      <c r="C5" s="9">
        <f>VLOOKUP(A5,'[1]ERPs by country'!$A$8:$F$164,4)</f>
        <v>6.4371549301595152E-2</v>
      </c>
      <c r="D5" s="9">
        <f t="shared" si="0"/>
        <v>0.13004052473527228</v>
      </c>
      <c r="E5" s="9">
        <f>VLOOKUP(A5,'[1]Country Tax Rates'!$A$2:$B$159,2)</f>
        <v>0.25</v>
      </c>
      <c r="F5" s="10">
        <f>VLOOKUP(A5,'[1]ERPs by country'!$A$8:$F$164,6)</f>
        <v>8.6740524735272273E-2</v>
      </c>
    </row>
    <row r="6" spans="1:6" ht="15">
      <c r="A6" s="11" t="str">
        <f>'[1]ERPs by country'!A12</f>
        <v>Argentina</v>
      </c>
      <c r="B6" s="9">
        <f>VLOOKUP(A6,'[1]ERPs by country'!$A$8:$F$164,5)</f>
        <v>0.20344841908628034</v>
      </c>
      <c r="C6" s="9">
        <f>VLOOKUP(A6,'[1]ERPs by country'!$A$8:$F$164,4)</f>
        <v>0.11884873749896685</v>
      </c>
      <c r="D6" s="9">
        <f t="shared" si="0"/>
        <v>0.20344841908628034</v>
      </c>
      <c r="E6" s="9">
        <f>VLOOKUP(A6,'[1]Country Tax Rates'!$A$2:$B$159,2)</f>
        <v>0.35</v>
      </c>
      <c r="F6" s="10">
        <f>VLOOKUP(A6,'[1]ERPs by country'!$A$8:$F$164,6)</f>
        <v>0.16014841908628033</v>
      </c>
    </row>
    <row r="7" spans="1:6" ht="15">
      <c r="A7" s="11" t="str">
        <f>'[1]ERPs by country'!A13</f>
        <v>Armenia</v>
      </c>
      <c r="B7" s="9">
        <f>VLOOKUP(A7,'[1]ERPs by country'!$A$8:$F$164,5)</f>
        <v>9.1297469383351385E-2</v>
      </c>
      <c r="C7" s="9">
        <f>VLOOKUP(A7,'[1]ERPs by country'!$A$8:$F$164,4)</f>
        <v>3.5619699975204554E-2</v>
      </c>
      <c r="D7" s="9">
        <f t="shared" si="0"/>
        <v>9.1297469383351385E-2</v>
      </c>
      <c r="E7" s="9">
        <f>VLOOKUP(A7,'[1]Country Tax Rates'!$A$2:$B$159,2)</f>
        <v>0.18</v>
      </c>
      <c r="F7" s="10">
        <f>VLOOKUP(A7,'[1]ERPs by country'!$A$8:$F$164,6)</f>
        <v>4.7997469383351386E-2</v>
      </c>
    </row>
    <row r="8" spans="1:6" ht="15">
      <c r="A8" s="11" t="str">
        <f>'[1]ERPs by country'!A14</f>
        <v>Aruba</v>
      </c>
      <c r="B8" s="9">
        <f>VLOOKUP(A8,'[1]ERPs by country'!$A$8:$F$164,5)</f>
        <v>7.2631786845381408E-2</v>
      </c>
      <c r="C8" s="9">
        <f>VLOOKUP(A8,'[1]ERPs by country'!$A$8:$F$164,4)</f>
        <v>2.1767594429291676E-2</v>
      </c>
      <c r="D8" s="9">
        <f t="shared" si="0"/>
        <v>7.2631786845381408E-2</v>
      </c>
      <c r="E8" s="9">
        <f>VLOOKUP(A8,'[1]Country Tax Rates'!$A$2:$B$159,2)</f>
        <v>0.25</v>
      </c>
      <c r="F8" s="10">
        <f>VLOOKUP(A8,'[1]ERPs by country'!$A$8:$F$164,6)</f>
        <v>2.9331786845381409E-2</v>
      </c>
    </row>
    <row r="9" spans="1:6" ht="15">
      <c r="A9" s="11" t="str">
        <f>'[1]ERPs by country'!A15</f>
        <v>Australia</v>
      </c>
      <c r="B9" s="9">
        <f>VLOOKUP(A9,'[1]ERPs by country'!$A$8:$F$164,5)</f>
        <v>4.3299999999999998E-2</v>
      </c>
      <c r="C9" s="9">
        <f>VLOOKUP(A9,'[1]ERPs by country'!$A$8:$F$164,4)</f>
        <v>0</v>
      </c>
      <c r="D9" s="9">
        <f t="shared" si="0"/>
        <v>4.3299999999999998E-2</v>
      </c>
      <c r="E9" s="9">
        <f>VLOOKUP(A9,'[1]Country Tax Rates'!$A$2:$B$159,2)</f>
        <v>0.3</v>
      </c>
      <c r="F9" s="10">
        <f>VLOOKUP(A9,'[1]ERPs by country'!$A$8:$F$164,6)</f>
        <v>0</v>
      </c>
    </row>
    <row r="10" spans="1:6" ht="15">
      <c r="A10" s="11" t="str">
        <f>'[1]ERPs by country'!A16</f>
        <v>Austria</v>
      </c>
      <c r="B10" s="9">
        <f>VLOOKUP(A10,'[1]ERPs by country'!$A$8:$F$164,5)</f>
        <v>4.8633052153705711E-2</v>
      </c>
      <c r="C10" s="9">
        <f>VLOOKUP(A10,'[1]ERPs by country'!$A$8:$F$164,4)</f>
        <v>3.9577444416893943E-3</v>
      </c>
      <c r="D10" s="9">
        <f t="shared" si="0"/>
        <v>4.8633052153705711E-2</v>
      </c>
      <c r="E10" s="9">
        <f>VLOOKUP(A10,'[1]Country Tax Rates'!$A$2:$B$159,2)</f>
        <v>0.24</v>
      </c>
      <c r="F10" s="10">
        <f>VLOOKUP(A10,'[1]ERPs by country'!$A$8:$F$164,6)</f>
        <v>5.3330521537057092E-3</v>
      </c>
    </row>
    <row r="11" spans="1:6" ht="15">
      <c r="A11" s="11" t="str">
        <f>'[1]ERPs by country'!A17</f>
        <v>Azerbaijan</v>
      </c>
      <c r="B11" s="9">
        <f>VLOOKUP(A11,'[1]ERPs by country'!$A$8:$F$164,5)</f>
        <v>7.6710003198215193E-2</v>
      </c>
      <c r="C11" s="9">
        <f>VLOOKUP(A11,'[1]ERPs by country'!$A$8:$F$164,4)</f>
        <v>2.4794104884701216E-2</v>
      </c>
      <c r="D11" s="9">
        <f t="shared" si="0"/>
        <v>7.6710003198215193E-2</v>
      </c>
      <c r="E11" s="9">
        <f>VLOOKUP(A11,'[1]Country Tax Rates'!$A$2:$B$159,2)</f>
        <v>0.2</v>
      </c>
      <c r="F11" s="10">
        <f>VLOOKUP(A11,'[1]ERPs by country'!$A$8:$F$164,6)</f>
        <v>3.3410003198215195E-2</v>
      </c>
    </row>
    <row r="12" spans="1:6" ht="15">
      <c r="A12" s="11" t="str">
        <f>'[1]ERPs by country'!A18</f>
        <v>Bahamas</v>
      </c>
      <c r="B12" s="9">
        <f>VLOOKUP(A12,'[1]ERPs by country'!$A$8:$F$164,5)</f>
        <v>0.10337526396674374</v>
      </c>
      <c r="C12" s="9">
        <f>VLOOKUP(A12,'[1]ERPs by country'!$A$8:$F$164,4)</f>
        <v>4.4582827093148182E-2</v>
      </c>
      <c r="D12" s="9">
        <f t="shared" si="0"/>
        <v>0.10337526396674374</v>
      </c>
      <c r="E12" s="9">
        <f>VLOOKUP(A12,'[1]Country Tax Rates'!$A$2:$B$159,2)</f>
        <v>0</v>
      </c>
      <c r="F12" s="10">
        <f>VLOOKUP(A12,'[1]ERPs by country'!$A$8:$F$164,6)</f>
        <v>6.007526396674373E-2</v>
      </c>
    </row>
    <row r="13" spans="1:6" ht="15">
      <c r="A13" s="11" t="str">
        <f>'[1]ERPs by country'!A19</f>
        <v>Bahrain</v>
      </c>
      <c r="B13" s="9">
        <f>VLOOKUP(A13,'[1]ERPs by country'!$A$8:$F$164,5)</f>
        <v>0.11670789435100801</v>
      </c>
      <c r="C13" s="9">
        <f>VLOOKUP(A13,'[1]ERPs by country'!$A$8:$F$164,4)</f>
        <v>5.4477188197371677E-2</v>
      </c>
      <c r="D13" s="9">
        <f t="shared" si="0"/>
        <v>0.11670789435100801</v>
      </c>
      <c r="E13" s="9">
        <f>VLOOKUP(A13,'[1]Country Tax Rates'!$A$2:$B$159,2)</f>
        <v>0</v>
      </c>
      <c r="F13" s="10">
        <f>VLOOKUP(A13,'[1]ERPs by country'!$A$8:$F$164,6)</f>
        <v>7.3407894351008016E-2</v>
      </c>
    </row>
    <row r="14" spans="1:6" ht="15">
      <c r="A14" s="11" t="str">
        <f>'[1]ERPs by country'!A20</f>
        <v>Bangladesh</v>
      </c>
      <c r="B14" s="9">
        <f>VLOOKUP(A14,'[1]ERPs by country'!$A$8:$F$164,5)</f>
        <v>0.11670789435100801</v>
      </c>
      <c r="C14" s="9">
        <f>VLOOKUP(A14,'[1]ERPs by country'!$A$8:$F$164,4)</f>
        <v>5.4477188197371677E-2</v>
      </c>
      <c r="D14" s="9">
        <f t="shared" si="0"/>
        <v>0.11670789435100801</v>
      </c>
      <c r="E14" s="9">
        <f>VLOOKUP(A14,'[1]Country Tax Rates'!$A$2:$B$159,2)</f>
        <v>0.3</v>
      </c>
      <c r="F14" s="10">
        <f>VLOOKUP(A14,'[1]ERPs by country'!$A$8:$F$164,6)</f>
        <v>7.3407894351008016E-2</v>
      </c>
    </row>
    <row r="15" spans="1:6" ht="15">
      <c r="A15" s="11" t="str">
        <f>'[1]ERPs by country'!A21</f>
        <v>Barbados</v>
      </c>
      <c r="B15" s="9">
        <f>VLOOKUP(A15,'[1]ERPs by country'!$A$8:$F$164,5)</f>
        <v>0.13004052473527228</v>
      </c>
      <c r="C15" s="9">
        <f>VLOOKUP(A15,'[1]ERPs by country'!$A$8:$F$164,4)</f>
        <v>6.4371549301595152E-2</v>
      </c>
      <c r="D15" s="9">
        <f t="shared" si="0"/>
        <v>0.13004052473527228</v>
      </c>
      <c r="E15" s="9">
        <f>VLOOKUP(A15,'[1]Country Tax Rates'!$A$2:$B$159,2)</f>
        <v>5.5E-2</v>
      </c>
      <c r="F15" s="10">
        <f>VLOOKUP(A15,'[1]ERPs by country'!$A$8:$F$164,6)</f>
        <v>8.6740524735272273E-2</v>
      </c>
    </row>
    <row r="16" spans="1:6" ht="15">
      <c r="A16" s="11" t="str">
        <f>'[1]ERPs by country'!A22</f>
        <v>Belarus</v>
      </c>
      <c r="B16" s="9">
        <f>VLOOKUP(A16,'[1]ERPs by country'!$A$8:$F$164,5)</f>
        <v>0.27911212497392057</v>
      </c>
      <c r="C16" s="9">
        <f>VLOOKUP(A16,'[1]ERPs by country'!$A$8:$F$164,4)</f>
        <v>0.17499999999999999</v>
      </c>
      <c r="D16" s="9">
        <f t="shared" si="0"/>
        <v>0.27911212497392057</v>
      </c>
      <c r="E16" s="9">
        <f>VLOOKUP(A16,'[1]Country Tax Rates'!$A$2:$B$159,2)</f>
        <v>0.18</v>
      </c>
      <c r="F16" s="10">
        <f>VLOOKUP(A16,'[1]ERPs by country'!$A$8:$F$164,6)</f>
        <v>0.23581212497392059</v>
      </c>
    </row>
    <row r="17" spans="1:6" ht="15">
      <c r="A17" s="11" t="str">
        <f>'[1]ERPs by country'!A23</f>
        <v>Belgium</v>
      </c>
      <c r="B17" s="9">
        <f>VLOOKUP(A17,'[1]ERPs by country'!$A$8:$F$164,5)</f>
        <v>5.1299578230558564E-2</v>
      </c>
      <c r="C17" s="9">
        <f>VLOOKUP(A17,'[1]ERPs by country'!$A$8:$F$164,4)</f>
        <v>5.9366166625340932E-3</v>
      </c>
      <c r="D17" s="9">
        <f t="shared" si="0"/>
        <v>5.1299578230558564E-2</v>
      </c>
      <c r="E17" s="9">
        <f>VLOOKUP(A17,'[1]Country Tax Rates'!$A$2:$B$159,2)</f>
        <v>0.25</v>
      </c>
      <c r="F17" s="10">
        <f>VLOOKUP(A17,'[1]ERPs by country'!$A$8:$F$164,6)</f>
        <v>7.9995782305585655E-3</v>
      </c>
    </row>
    <row r="18" spans="1:6" ht="15">
      <c r="A18" s="11" t="str">
        <f>'[1]ERPs by country'!A24</f>
        <v>Belize</v>
      </c>
      <c r="B18" s="9">
        <f>VLOOKUP(A18,'[1]ERPs by country'!$A$8:$F$164,5)</f>
        <v>0.14337315511953655</v>
      </c>
      <c r="C18" s="9">
        <f>VLOOKUP(A18,'[1]ERPs by country'!$A$8:$F$164,4)</f>
        <v>7.4265910405818647E-2</v>
      </c>
      <c r="D18" s="9">
        <f t="shared" si="0"/>
        <v>0.14337315511953655</v>
      </c>
      <c r="E18" s="9">
        <f>VLOOKUP(A18,'[1]Country Tax Rates'!$A$2:$B$159,2)</f>
        <v>0.2853</v>
      </c>
      <c r="F18" s="10">
        <f>VLOOKUP(A18,'[1]ERPs by country'!$A$8:$F$164,6)</f>
        <v>0.10007315511953656</v>
      </c>
    </row>
    <row r="19" spans="1:6" ht="15">
      <c r="A19" s="11" t="str">
        <f>'[1]ERPs by country'!A25</f>
        <v>Benin</v>
      </c>
      <c r="B19" s="9">
        <f>VLOOKUP(A19,'[1]ERPs by country'!$A$8:$F$164,5)</f>
        <v>0.10337526396674374</v>
      </c>
      <c r="C19" s="9">
        <f>VLOOKUP(A19,'[1]ERPs by country'!$A$8:$F$164,4)</f>
        <v>4.4582827093148182E-2</v>
      </c>
      <c r="D19" s="9">
        <f t="shared" si="0"/>
        <v>0.10337526396674374</v>
      </c>
      <c r="E19" s="9">
        <f>VLOOKUP(A19,'[1]Country Tax Rates'!$A$2:$B$159,2)</f>
        <v>0.3</v>
      </c>
      <c r="F19" s="10">
        <f>VLOOKUP(A19,'[1]ERPs by country'!$A$8:$F$164,6)</f>
        <v>6.007526396674373E-2</v>
      </c>
    </row>
    <row r="20" spans="1:6" ht="15">
      <c r="A20" s="11" t="str">
        <f>'[1]ERPs by country'!A26</f>
        <v>Bermuda</v>
      </c>
      <c r="B20" s="9">
        <f>VLOOKUP(A20,'[1]ERPs by country'!$A$8:$F$164,5)</f>
        <v>5.4593522207847384E-2</v>
      </c>
      <c r="C20" s="9">
        <f>VLOOKUP(A20,'[1]ERPs by country'!$A$8:$F$164,4)</f>
        <v>8.3811058765187203E-3</v>
      </c>
      <c r="D20" s="9">
        <f t="shared" si="0"/>
        <v>5.4593522207847384E-2</v>
      </c>
      <c r="E20" s="9">
        <f>VLOOKUP(A20,'[1]Country Tax Rates'!$A$2:$B$159,2)</f>
        <v>0</v>
      </c>
      <c r="F20" s="10">
        <f>VLOOKUP(A20,'[1]ERPs by country'!$A$8:$F$164,6)</f>
        <v>1.1293522207847389E-2</v>
      </c>
    </row>
    <row r="21" spans="1:6" ht="15">
      <c r="A21" s="11" t="str">
        <f>'[1]ERPs by country'!A27</f>
        <v>Bolivia</v>
      </c>
      <c r="B21" s="9">
        <f>VLOOKUP(A21,'[1]ERPs by country'!$A$8:$F$164,5)</f>
        <v>0.17678315831775177</v>
      </c>
      <c r="C21" s="9">
        <f>VLOOKUP(A21,'[1]ERPs by country'!$A$8:$F$164,4)</f>
        <v>9.9060015290519873E-2</v>
      </c>
      <c r="D21" s="9">
        <f t="shared" si="0"/>
        <v>0.17678315831775177</v>
      </c>
      <c r="E21" s="9">
        <f>VLOOKUP(A21,'[1]Country Tax Rates'!$A$2:$B$159,2)</f>
        <v>0.25</v>
      </c>
      <c r="F21" s="10">
        <f>VLOOKUP(A21,'[1]ERPs by country'!$A$8:$F$164,6)</f>
        <v>0.13348315831775176</v>
      </c>
    </row>
    <row r="22" spans="1:6" ht="15">
      <c r="A22" s="11" t="str">
        <f>'[1]ERPs by country'!A28</f>
        <v>Bosnia and Herzegovina</v>
      </c>
      <c r="B22" s="9">
        <f>VLOOKUP(A22,'[1]ERPs by country'!$A$8:$F$164,5)</f>
        <v>0.13004052473527228</v>
      </c>
      <c r="C22" s="9">
        <f>VLOOKUP(A22,'[1]ERPs by country'!$A$8:$F$164,4)</f>
        <v>6.4371549301595152E-2</v>
      </c>
      <c r="D22" s="9">
        <f t="shared" si="0"/>
        <v>0.13004052473527228</v>
      </c>
      <c r="E22" s="9">
        <f>VLOOKUP(A22,'[1]Country Tax Rates'!$A$2:$B$159,2)</f>
        <v>0.1</v>
      </c>
      <c r="F22" s="10">
        <f>VLOOKUP(A22,'[1]ERPs by country'!$A$8:$F$164,6)</f>
        <v>8.6740524735272273E-2</v>
      </c>
    </row>
    <row r="23" spans="1:6" ht="15">
      <c r="A23" s="11" t="str">
        <f>'[1]ERPs by country'!A29</f>
        <v>Botswana</v>
      </c>
      <c r="B23" s="9">
        <f>VLOOKUP(A23,'[1]ERPs by country'!$A$8:$F$164,5)</f>
        <v>5.9299156461117129E-2</v>
      </c>
      <c r="C23" s="9">
        <f>VLOOKUP(A23,'[1]ERPs by country'!$A$8:$F$164,4)</f>
        <v>1.1873233325068186E-2</v>
      </c>
      <c r="D23" s="9">
        <f t="shared" si="0"/>
        <v>5.9299156461117129E-2</v>
      </c>
      <c r="E23" s="9">
        <f>VLOOKUP(A23,'[1]Country Tax Rates'!$A$2:$B$159,2)</f>
        <v>0.22</v>
      </c>
      <c r="F23" s="10">
        <f>VLOOKUP(A23,'[1]ERPs by country'!$A$8:$F$164,6)</f>
        <v>1.5999156461117131E-2</v>
      </c>
    </row>
    <row r="24" spans="1:6" ht="15">
      <c r="A24" s="11" t="str">
        <f>'[1]ERPs by country'!A30</f>
        <v>Brazil</v>
      </c>
      <c r="B24" s="9">
        <f>VLOOKUP(A24,'[1]ERPs by country'!$A$8:$F$164,5)</f>
        <v>7.6710003198215193E-2</v>
      </c>
      <c r="C24" s="9">
        <f>VLOOKUP(A24,'[1]ERPs by country'!$A$8:$F$164,4)</f>
        <v>2.4794104884701216E-2</v>
      </c>
      <c r="D24" s="9">
        <f t="shared" si="0"/>
        <v>7.6710003198215193E-2</v>
      </c>
      <c r="E24" s="9">
        <f>VLOOKUP(A24,'[1]Country Tax Rates'!$A$2:$B$159,2)</f>
        <v>0.34</v>
      </c>
      <c r="F24" s="10">
        <f>VLOOKUP(A24,'[1]ERPs by country'!$A$8:$F$164,6)</f>
        <v>3.3410003198215195E-2</v>
      </c>
    </row>
    <row r="25" spans="1:6" ht="15">
      <c r="A25" s="11" t="str">
        <f>'[1]ERPs by country'!A31</f>
        <v>Bulgaria</v>
      </c>
      <c r="B25" s="9">
        <f>VLOOKUP(A25,'[1]ERPs by country'!$A$8:$F$164,5)</f>
        <v>6.4632208614822828E-2</v>
      </c>
      <c r="C25" s="9">
        <f>VLOOKUP(A25,'[1]ERPs by country'!$A$8:$F$164,4)</f>
        <v>1.5830977766757577E-2</v>
      </c>
      <c r="D25" s="9">
        <f t="shared" si="0"/>
        <v>6.4632208614822828E-2</v>
      </c>
      <c r="E25" s="9">
        <f>VLOOKUP(A25,'[1]Country Tax Rates'!$A$2:$B$159,2)</f>
        <v>0.1</v>
      </c>
      <c r="F25" s="10">
        <f>VLOOKUP(A25,'[1]ERPs by country'!$A$8:$F$164,6)</f>
        <v>2.1332208614822837E-2</v>
      </c>
    </row>
    <row r="26" spans="1:6" ht="15">
      <c r="A26" s="11" t="str">
        <f>'[1]ERPs by country'!A32</f>
        <v>Burkina Faso</v>
      </c>
      <c r="B26" s="9">
        <f>VLOOKUP(A26,'[1]ERPs by country'!$A$8:$F$164,5)</f>
        <v>0.14337315511953655</v>
      </c>
      <c r="C26" s="9">
        <f>VLOOKUP(A26,'[1]ERPs by country'!$A$8:$F$164,4)</f>
        <v>7.4265910405818647E-2</v>
      </c>
      <c r="D26" s="9">
        <f t="shared" si="0"/>
        <v>0.14337315511953655</v>
      </c>
      <c r="E26" s="9">
        <f>VLOOKUP(A26,'[1]Country Tax Rates'!$A$2:$B$159,2)</f>
        <v>0.28000000000000003</v>
      </c>
      <c r="F26" s="10">
        <f>VLOOKUP(A26,'[1]ERPs by country'!$A$8:$F$164,6)</f>
        <v>0.10007315511953656</v>
      </c>
    </row>
    <row r="27" spans="1:6" ht="15">
      <c r="A27" s="11" t="str">
        <f>'[1]ERPs by country'!A33</f>
        <v>Cambodia</v>
      </c>
      <c r="B27" s="9">
        <f>VLOOKUP(A27,'[1]ERPs by country'!$A$8:$F$164,5)</f>
        <v>0.11670789435100801</v>
      </c>
      <c r="C27" s="9">
        <f>VLOOKUP(A27,'[1]ERPs by country'!$A$8:$F$164,4)</f>
        <v>5.4477188197371677E-2</v>
      </c>
      <c r="D27" s="9">
        <f t="shared" si="0"/>
        <v>0.11670789435100801</v>
      </c>
      <c r="E27" s="9">
        <f>VLOOKUP(A27,'[1]Country Tax Rates'!$A$2:$B$159,2)</f>
        <v>0.2</v>
      </c>
      <c r="F27" s="10">
        <f>VLOOKUP(A27,'[1]ERPs by country'!$A$8:$F$164,6)</f>
        <v>7.3407894351008016E-2</v>
      </c>
    </row>
    <row r="28" spans="1:6" ht="15">
      <c r="A28" s="11" t="str">
        <f>'[1]ERPs by country'!A34</f>
        <v>Cameroon</v>
      </c>
      <c r="B28" s="9">
        <f>VLOOKUP(A28,'[1]ERPs by country'!$A$8:$F$164,5)</f>
        <v>0.14337315511953655</v>
      </c>
      <c r="C28" s="9">
        <f>VLOOKUP(A28,'[1]ERPs by country'!$A$8:$F$164,4)</f>
        <v>7.4265910405818647E-2</v>
      </c>
      <c r="D28" s="9">
        <f t="shared" si="0"/>
        <v>0.14337315511953655</v>
      </c>
      <c r="E28" s="9">
        <f>VLOOKUP(A28,'[1]Country Tax Rates'!$A$2:$B$159,2)</f>
        <v>0.33</v>
      </c>
      <c r="F28" s="10">
        <f>VLOOKUP(A28,'[1]ERPs by country'!$A$8:$F$164,6)</f>
        <v>0.10007315511953656</v>
      </c>
    </row>
    <row r="29" spans="1:6" ht="15">
      <c r="A29" s="11" t="str">
        <f>'[1]ERPs by country'!A35</f>
        <v>Canada</v>
      </c>
      <c r="B29" s="9">
        <f>VLOOKUP(A29,'[1]ERPs by country'!$A$8:$F$164,5)</f>
        <v>4.3299999999999998E-2</v>
      </c>
      <c r="C29" s="9">
        <f>VLOOKUP(A29,'[1]ERPs by country'!$A$8:$F$164,4)</f>
        <v>0</v>
      </c>
      <c r="D29" s="9">
        <f t="shared" si="0"/>
        <v>4.3299999999999998E-2</v>
      </c>
      <c r="E29" s="9">
        <f>VLOOKUP(A29,'[1]Country Tax Rates'!$A$2:$B$159,2)</f>
        <v>0.26500000000000001</v>
      </c>
      <c r="F29" s="10">
        <f>VLOOKUP(A29,'[1]ERPs by country'!$A$8:$F$164,6)</f>
        <v>0</v>
      </c>
    </row>
    <row r="30" spans="1:6" ht="15">
      <c r="A30" s="11" t="str">
        <f>'[1]ERPs by country'!A36</f>
        <v>Cape Verde</v>
      </c>
      <c r="B30" s="9">
        <f>VLOOKUP(A30,'[1]ERPs by country'!$A$8:$F$164,5)</f>
        <v>0.11670789435100801</v>
      </c>
      <c r="C30" s="9">
        <f>VLOOKUP(A30,'[1]ERPs by country'!$A$8:$F$164,4)</f>
        <v>5.4477188197371677E-2</v>
      </c>
      <c r="D30" s="9">
        <f t="shared" si="0"/>
        <v>0.11670789435100801</v>
      </c>
      <c r="E30" s="9">
        <f>VLOOKUP(A30,'[1]Country Tax Rates'!$A$2:$B$159,2)</f>
        <v>0</v>
      </c>
      <c r="F30" s="10">
        <f>VLOOKUP(A30,'[1]ERPs by country'!$A$8:$F$164,6)</f>
        <v>7.3407894351008016E-2</v>
      </c>
    </row>
    <row r="31" spans="1:6" ht="15">
      <c r="A31" s="11" t="str">
        <f>'[1]ERPs by country'!A37</f>
        <v>Cayman Islands</v>
      </c>
      <c r="B31" s="9">
        <f>VLOOKUP(A31,'[1]ERPs by country'!$A$8:$F$164,5)</f>
        <v>5.1299578230558564E-2</v>
      </c>
      <c r="C31" s="9">
        <f>VLOOKUP(A31,'[1]ERPs by country'!$A$8:$F$164,4)</f>
        <v>5.9366166625340932E-3</v>
      </c>
      <c r="D31" s="9">
        <f t="shared" si="0"/>
        <v>5.1299578230558564E-2</v>
      </c>
      <c r="E31" s="9">
        <f>VLOOKUP(A31,'[1]Country Tax Rates'!$A$2:$B$159,2)</f>
        <v>0</v>
      </c>
      <c r="F31" s="10">
        <f>VLOOKUP(A31,'[1]ERPs by country'!$A$8:$F$164,6)</f>
        <v>7.9995782305585655E-3</v>
      </c>
    </row>
    <row r="32" spans="1:6" ht="15">
      <c r="A32" s="11" t="str">
        <f>'[1]ERPs by country'!A38</f>
        <v>Chile</v>
      </c>
      <c r="B32" s="9">
        <f>VLOOKUP(A32,'[1]ERPs by country'!$A$8:$F$164,5)</f>
        <v>5.4593522207847384E-2</v>
      </c>
      <c r="C32" s="9">
        <f>VLOOKUP(A32,'[1]ERPs by country'!$A$8:$F$164,4)</f>
        <v>8.3811058765187203E-3</v>
      </c>
      <c r="D32" s="9">
        <f t="shared" si="0"/>
        <v>5.4593522207847384E-2</v>
      </c>
      <c r="E32" s="9">
        <f>VLOOKUP(A32,'[1]Country Tax Rates'!$A$2:$B$159,2)</f>
        <v>0.27</v>
      </c>
      <c r="F32" s="10">
        <f>VLOOKUP(A32,'[1]ERPs by country'!$A$8:$F$164,6)</f>
        <v>1.1293522207847389E-2</v>
      </c>
    </row>
    <row r="33" spans="1:6" ht="15">
      <c r="A33" s="11" t="str">
        <f>'[1]ERPs by country'!A39</f>
        <v>China</v>
      </c>
      <c r="B33" s="9">
        <f>VLOOKUP(A33,'[1]ERPs by country'!$A$8:$F$164,5)</f>
        <v>5.271126850653949E-2</v>
      </c>
      <c r="C33" s="9">
        <f>VLOOKUP(A33,'[1]ERPs by country'!$A$8:$F$164,4)</f>
        <v>6.9842548970989338E-3</v>
      </c>
      <c r="D33" s="9">
        <f t="shared" si="0"/>
        <v>5.271126850653949E-2</v>
      </c>
      <c r="E33" s="9">
        <f>VLOOKUP(A33,'[1]Country Tax Rates'!$A$2:$B$159,2)</f>
        <v>0.25</v>
      </c>
      <c r="F33" s="10">
        <f>VLOOKUP(A33,'[1]ERPs by country'!$A$8:$F$164,6)</f>
        <v>9.4112685065394896E-3</v>
      </c>
    </row>
    <row r="34" spans="1:6" ht="15">
      <c r="A34" s="11" t="str">
        <f>'[1]ERPs by country'!A40</f>
        <v>Colombia</v>
      </c>
      <c r="B34" s="9">
        <f>VLOOKUP(A34,'[1]ERPs by country'!$A$8:$F$164,5)</f>
        <v>6.8710424967656614E-2</v>
      </c>
      <c r="C34" s="9">
        <f>VLOOKUP(A34,'[1]ERPs by country'!$A$8:$F$164,4)</f>
        <v>1.885748822216712E-2</v>
      </c>
      <c r="D34" s="9">
        <f t="shared" si="0"/>
        <v>6.8710424967656614E-2</v>
      </c>
      <c r="E34" s="9">
        <f>VLOOKUP(A34,'[1]Country Tax Rates'!$A$2:$B$159,2)</f>
        <v>0.35</v>
      </c>
      <c r="F34" s="10">
        <f>VLOOKUP(A34,'[1]ERPs by country'!$A$8:$F$164,6)</f>
        <v>2.5410424967656622E-2</v>
      </c>
    </row>
    <row r="35" spans="1:6" ht="15">
      <c r="A35" s="11" t="str">
        <f>'[1]ERPs by country'!A41</f>
        <v>Congo (Democratic Republic of)</v>
      </c>
      <c r="B35" s="9">
        <f>VLOOKUP(A35,'[1]ERPs by country'!$A$8:$F$164,5)</f>
        <v>0.13004052473527228</v>
      </c>
      <c r="C35" s="9">
        <f>VLOOKUP(A35,'[1]ERPs by country'!$A$8:$F$164,4)</f>
        <v>6.4371549301595152E-2</v>
      </c>
      <c r="D35" s="9">
        <f t="shared" si="0"/>
        <v>0.13004052473527228</v>
      </c>
      <c r="E35" s="9">
        <f>VLOOKUP(A35,'[1]Country Tax Rates'!$A$2:$B$159,2)</f>
        <v>0.3</v>
      </c>
      <c r="F35" s="10">
        <f>VLOOKUP(A35,'[1]ERPs by country'!$A$8:$F$164,6)</f>
        <v>8.6740524735272273E-2</v>
      </c>
    </row>
    <row r="36" spans="1:6" ht="15">
      <c r="A36" s="11" t="str">
        <f>'[1]ERPs by country'!A42</f>
        <v>Congo (Republic of)</v>
      </c>
      <c r="B36" s="9">
        <f>VLOOKUP(A36,'[1]ERPs by country'!$A$8:$F$164,5)</f>
        <v>0.16345052793348747</v>
      </c>
      <c r="C36" s="9">
        <f>VLOOKUP(A36,'[1]ERPs by country'!$A$8:$F$164,4)</f>
        <v>8.9165654186296364E-2</v>
      </c>
      <c r="D36" s="9">
        <f t="shared" si="0"/>
        <v>0.16345052793348747</v>
      </c>
      <c r="E36" s="9">
        <f>VLOOKUP(A36,'[1]Country Tax Rates'!$A$2:$B$159,2)</f>
        <v>0.28000000000000003</v>
      </c>
      <c r="F36" s="10">
        <f>VLOOKUP(A36,'[1]ERPs by country'!$A$8:$F$164,6)</f>
        <v>0.12015052793348746</v>
      </c>
    </row>
    <row r="37" spans="1:6" ht="15">
      <c r="A37" s="11" t="str">
        <f>'[1]ERPs by country'!A43</f>
        <v>Cook Islands</v>
      </c>
      <c r="B37" s="9">
        <f>VLOOKUP(A37,'[1]ERPs by country'!$A$8:$F$164,5)</f>
        <v>0.10337526396674374</v>
      </c>
      <c r="C37" s="9">
        <f>VLOOKUP(A37,'[1]ERPs by country'!$A$8:$F$164,4)</f>
        <v>4.4582827093148182E-2</v>
      </c>
      <c r="D37" s="9">
        <f t="shared" si="0"/>
        <v>0.10337526396674374</v>
      </c>
      <c r="E37" s="9">
        <f>VLOOKUP(A37,'[1]Country Tax Rates'!$A$2:$B$159,2)</f>
        <v>0.2974</v>
      </c>
      <c r="F37" s="10">
        <f>VLOOKUP(A37,'[1]ERPs by country'!$A$8:$F$164,6)</f>
        <v>6.007526396674373E-2</v>
      </c>
    </row>
    <row r="38" spans="1:6" ht="15">
      <c r="A38" s="11" t="str">
        <f>'[1]ERPs by country'!A44</f>
        <v>Costa Rica</v>
      </c>
      <c r="B38" s="9">
        <f>VLOOKUP(A38,'[1]ERPs by country'!$A$8:$F$164,5)</f>
        <v>9.1297469383351385E-2</v>
      </c>
      <c r="C38" s="9">
        <f>VLOOKUP(A38,'[1]ERPs by country'!$A$8:$F$164,4)</f>
        <v>3.5619699975204554E-2</v>
      </c>
      <c r="D38" s="9">
        <f t="shared" si="0"/>
        <v>9.1297469383351385E-2</v>
      </c>
      <c r="E38" s="9">
        <f>VLOOKUP(A38,'[1]Country Tax Rates'!$A$2:$B$159,2)</f>
        <v>0.3</v>
      </c>
      <c r="F38" s="10">
        <f>VLOOKUP(A38,'[1]ERPs by country'!$A$8:$F$164,6)</f>
        <v>4.7997469383351386E-2</v>
      </c>
    </row>
    <row r="39" spans="1:6" ht="15">
      <c r="A39" s="11" t="str">
        <f>'[1]ERPs by country'!A45</f>
        <v>Côte d'Ivoire</v>
      </c>
      <c r="B39" s="9">
        <f>VLOOKUP(A39,'[1]ERPs by country'!$A$8:$F$164,5)</f>
        <v>8.3454745627901811E-2</v>
      </c>
      <c r="C39" s="9">
        <f>VLOOKUP(A39,'[1]ERPs by country'!$A$8:$F$164,4)</f>
        <v>2.9799487560955448E-2</v>
      </c>
      <c r="D39" s="9">
        <f t="shared" si="0"/>
        <v>8.3454745627901811E-2</v>
      </c>
      <c r="E39" s="9">
        <f>VLOOKUP(A39,'[1]Country Tax Rates'!$A$2:$B$159,2)</f>
        <v>0.25</v>
      </c>
      <c r="F39" s="10">
        <f>VLOOKUP(A39,'[1]ERPs by country'!$A$8:$F$164,6)</f>
        <v>4.0154745627901819E-2</v>
      </c>
    </row>
    <row r="40" spans="1:6" ht="15">
      <c r="A40" s="11" t="str">
        <f>'[1]ERPs by country'!A46</f>
        <v>Croatia</v>
      </c>
      <c r="B40" s="9">
        <f>VLOOKUP(A40,'[1]ERPs by country'!$A$8:$F$164,5)</f>
        <v>5.9299156461117129E-2</v>
      </c>
      <c r="C40" s="9">
        <f>VLOOKUP(A40,'[1]ERPs by country'!$A$8:$F$164,4)</f>
        <v>1.1873233325068186E-2</v>
      </c>
      <c r="D40" s="9">
        <f t="shared" si="0"/>
        <v>5.9299156461117129E-2</v>
      </c>
      <c r="E40" s="9">
        <f>VLOOKUP(A40,'[1]Country Tax Rates'!$A$2:$B$159,2)</f>
        <v>0.18</v>
      </c>
      <c r="F40" s="10">
        <f>VLOOKUP(A40,'[1]ERPs by country'!$A$8:$F$164,6)</f>
        <v>1.5999156461117131E-2</v>
      </c>
    </row>
    <row r="41" spans="1:6" ht="15">
      <c r="A41" s="11" t="str">
        <f>'[1]ERPs by country'!A47</f>
        <v>Cuba</v>
      </c>
      <c r="B41" s="9">
        <f>VLOOKUP(A41,'[1]ERPs by country'!$A$8:$F$164,5)</f>
        <v>0.20344841908628034</v>
      </c>
      <c r="C41" s="9">
        <f>VLOOKUP(A41,'[1]ERPs by country'!$A$8:$F$164,4)</f>
        <v>0.11884873749896685</v>
      </c>
      <c r="D41" s="9">
        <f t="shared" si="0"/>
        <v>0.20344841908628034</v>
      </c>
      <c r="E41" s="9">
        <f>VLOOKUP(A41,'[1]Country Tax Rates'!$A$2:$B$159,2)</f>
        <v>0.2853</v>
      </c>
      <c r="F41" s="10">
        <f>VLOOKUP(A41,'[1]ERPs by country'!$A$8:$F$164,6)</f>
        <v>0.16014841908628033</v>
      </c>
    </row>
    <row r="42" spans="1:6" ht="15">
      <c r="A42" s="11" t="str">
        <f>'[1]ERPs by country'!A48</f>
        <v>Curacao</v>
      </c>
      <c r="B42" s="9">
        <f>VLOOKUP(A42,'[1]ERPs by country'!$A$8:$F$164,5)</f>
        <v>7.2631786845381408E-2</v>
      </c>
      <c r="C42" s="9">
        <f>VLOOKUP(A42,'[1]ERPs by country'!$A$8:$F$164,4)</f>
        <v>2.1767594429291676E-2</v>
      </c>
      <c r="D42" s="9">
        <f t="shared" si="0"/>
        <v>7.2631786845381408E-2</v>
      </c>
      <c r="E42" s="9">
        <f>VLOOKUP(A42,'[1]Country Tax Rates'!$A$2:$B$159,2)</f>
        <v>0.22</v>
      </c>
      <c r="F42" s="10">
        <f>VLOOKUP(A42,'[1]ERPs by country'!$A$8:$F$164,6)</f>
        <v>2.9331786845381409E-2</v>
      </c>
    </row>
    <row r="43" spans="1:6" ht="15">
      <c r="A43" s="11" t="str">
        <f>'[1]ERPs by country'!A49</f>
        <v>Cyprus</v>
      </c>
      <c r="B43" s="9">
        <f>VLOOKUP(A43,'[1]ERPs by country'!$A$8:$F$164,5)</f>
        <v>5.9299156461117129E-2</v>
      </c>
      <c r="C43" s="9">
        <f>VLOOKUP(A43,'[1]ERPs by country'!$A$8:$F$164,4)</f>
        <v>1.1873233325068186E-2</v>
      </c>
      <c r="D43" s="9">
        <f t="shared" si="0"/>
        <v>5.9299156461117129E-2</v>
      </c>
      <c r="E43" s="9">
        <f>VLOOKUP(A43,'[1]Country Tax Rates'!$A$2:$B$159,2)</f>
        <v>0.125</v>
      </c>
      <c r="F43" s="10">
        <f>VLOOKUP(A43,'[1]ERPs by country'!$A$8:$F$164,6)</f>
        <v>1.5999156461117131E-2</v>
      </c>
    </row>
    <row r="44" spans="1:6" ht="15">
      <c r="A44" s="11" t="str">
        <f>'[1]ERPs by country'!A50</f>
        <v>Czech Republic</v>
      </c>
      <c r="B44" s="9">
        <f>VLOOKUP(A44,'[1]ERPs by country'!$A$8:$F$164,5)</f>
        <v>5.1299578230558564E-2</v>
      </c>
      <c r="C44" s="9">
        <f>VLOOKUP(A44,'[1]ERPs by country'!$A$8:$F$164,4)</f>
        <v>5.9366166625340932E-3</v>
      </c>
      <c r="D44" s="9">
        <f t="shared" si="0"/>
        <v>5.1299578230558564E-2</v>
      </c>
      <c r="E44" s="9">
        <f>VLOOKUP(A44,'[1]Country Tax Rates'!$A$2:$B$159,2)</f>
        <v>0.19</v>
      </c>
      <c r="F44" s="10">
        <f>VLOOKUP(A44,'[1]ERPs by country'!$A$8:$F$164,6)</f>
        <v>7.9995782305585655E-3</v>
      </c>
    </row>
    <row r="45" spans="1:6" ht="15">
      <c r="A45" s="11" t="str">
        <f>'[1]ERPs by country'!A51</f>
        <v>Denmark</v>
      </c>
      <c r="B45" s="9">
        <f>VLOOKUP(A45,'[1]ERPs by country'!$A$8:$F$164,5)</f>
        <v>4.3299999999999998E-2</v>
      </c>
      <c r="C45" s="9">
        <f>VLOOKUP(A45,'[1]ERPs by country'!$A$8:$F$164,4)</f>
        <v>0</v>
      </c>
      <c r="D45" s="9">
        <f t="shared" si="0"/>
        <v>4.3299999999999998E-2</v>
      </c>
      <c r="E45" s="9">
        <f>VLOOKUP(A45,'[1]Country Tax Rates'!$A$2:$B$159,2)</f>
        <v>0.22</v>
      </c>
      <c r="F45" s="10">
        <f>VLOOKUP(A45,'[1]ERPs by country'!$A$8:$F$164,6)</f>
        <v>0</v>
      </c>
    </row>
    <row r="46" spans="1:6" ht="15">
      <c r="A46" s="11" t="str">
        <f>'[1]ERPs by country'!A52</f>
        <v>Dominican Republic</v>
      </c>
      <c r="B46" s="9">
        <f>VLOOKUP(A46,'[1]ERPs by country'!$A$8:$F$164,5)</f>
        <v>9.1297469383351385E-2</v>
      </c>
      <c r="C46" s="9">
        <f>VLOOKUP(A46,'[1]ERPs by country'!$A$8:$F$164,4)</f>
        <v>3.5619699975204554E-2</v>
      </c>
      <c r="D46" s="9">
        <f t="shared" si="0"/>
        <v>9.1297469383351385E-2</v>
      </c>
      <c r="E46" s="9">
        <f>VLOOKUP(A46,'[1]Country Tax Rates'!$A$2:$B$159,2)</f>
        <v>0.27</v>
      </c>
      <c r="F46" s="10">
        <f>VLOOKUP(A46,'[1]ERPs by country'!$A$8:$F$164,6)</f>
        <v>4.7997469383351386E-2</v>
      </c>
    </row>
    <row r="47" spans="1:6" ht="15">
      <c r="A47" s="11" t="str">
        <f>'[1]ERPs by country'!A53</f>
        <v>Ecuador</v>
      </c>
      <c r="B47" s="9">
        <f>VLOOKUP(A47,'[1]ERPs by country'!$A$8:$F$164,5)</f>
        <v>0.17678315831775177</v>
      </c>
      <c r="C47" s="9">
        <f>VLOOKUP(A47,'[1]ERPs by country'!$A$8:$F$164,4)</f>
        <v>9.9060015290519873E-2</v>
      </c>
      <c r="D47" s="9">
        <f t="shared" si="0"/>
        <v>0.17678315831775177</v>
      </c>
      <c r="E47" s="9">
        <f>VLOOKUP(A47,'[1]Country Tax Rates'!$A$2:$B$159,2)</f>
        <v>0.25</v>
      </c>
      <c r="F47" s="10">
        <f>VLOOKUP(A47,'[1]ERPs by country'!$A$8:$F$164,6)</f>
        <v>0.13348315831775176</v>
      </c>
    </row>
    <row r="48" spans="1:6" ht="15">
      <c r="A48" s="11" t="str">
        <f>'[1]ERPs by country'!A54</f>
        <v>Egypt</v>
      </c>
      <c r="B48" s="9">
        <f>VLOOKUP(A48,'[1]ERPs by country'!$A$8:$F$164,5)</f>
        <v>0.14337315511953655</v>
      </c>
      <c r="C48" s="9">
        <f>VLOOKUP(A48,'[1]ERPs by country'!$A$8:$F$164,4)</f>
        <v>7.4265910405818647E-2</v>
      </c>
      <c r="D48" s="9">
        <f t="shared" si="0"/>
        <v>0.14337315511953655</v>
      </c>
      <c r="E48" s="9">
        <f>VLOOKUP(A48,'[1]Country Tax Rates'!$A$2:$B$159,2)</f>
        <v>0.22500000000000001</v>
      </c>
      <c r="F48" s="10">
        <f>VLOOKUP(A48,'[1]ERPs by country'!$A$8:$F$164,6)</f>
        <v>0.10007315511953656</v>
      </c>
    </row>
    <row r="49" spans="1:6" ht="15">
      <c r="A49" s="11" t="str">
        <f>'[1]ERPs by country'!A55</f>
        <v>El Salvador</v>
      </c>
      <c r="B49" s="9">
        <f>VLOOKUP(A49,'[1]ERPs by country'!$A$8:$F$164,5)</f>
        <v>0.13004052473527228</v>
      </c>
      <c r="C49" s="9">
        <f>VLOOKUP(A49,'[1]ERPs by country'!$A$8:$F$164,4)</f>
        <v>6.4371549301595152E-2</v>
      </c>
      <c r="D49" s="9">
        <f t="shared" si="0"/>
        <v>0.13004052473527228</v>
      </c>
      <c r="E49" s="9">
        <f>VLOOKUP(A49,'[1]Country Tax Rates'!$A$2:$B$159,2)</f>
        <v>0.3</v>
      </c>
      <c r="F49" s="10">
        <f>VLOOKUP(A49,'[1]ERPs by country'!$A$8:$F$164,6)</f>
        <v>8.6740524735272273E-2</v>
      </c>
    </row>
    <row r="50" spans="1:6" ht="15">
      <c r="A50" s="11" t="str">
        <f>'[1]ERPs by country'!A56</f>
        <v>Estonia</v>
      </c>
      <c r="B50" s="9">
        <f>VLOOKUP(A50,'[1]ERPs by country'!$A$8:$F$164,5)</f>
        <v>5.271126850653949E-2</v>
      </c>
      <c r="C50" s="9">
        <f>VLOOKUP(A50,'[1]ERPs by country'!$A$8:$F$164,4)</f>
        <v>6.9842548970989338E-3</v>
      </c>
      <c r="D50" s="9">
        <f t="shared" si="0"/>
        <v>5.271126850653949E-2</v>
      </c>
      <c r="E50" s="9">
        <f>VLOOKUP(A50,'[1]Country Tax Rates'!$A$2:$B$159,2)</f>
        <v>0.2</v>
      </c>
      <c r="F50" s="10">
        <f>VLOOKUP(A50,'[1]ERPs by country'!$A$8:$F$164,6)</f>
        <v>9.4112685065394896E-3</v>
      </c>
    </row>
    <row r="51" spans="1:6" ht="15">
      <c r="A51" s="11" t="str">
        <f>'[1]ERPs by country'!A57</f>
        <v>Ethiopia</v>
      </c>
      <c r="B51" s="9">
        <f>VLOOKUP(A51,'[1]ERPs by country'!$A$8:$F$164,5)</f>
        <v>0.16345052793348747</v>
      </c>
      <c r="C51" s="9">
        <f>VLOOKUP(A51,'[1]ERPs by country'!$A$8:$F$164,4)</f>
        <v>8.9165654186296364E-2</v>
      </c>
      <c r="D51" s="9">
        <f t="shared" si="0"/>
        <v>0.16345052793348747</v>
      </c>
      <c r="E51" s="9">
        <f>VLOOKUP(A51,'[1]Country Tax Rates'!$A$2:$B$159,2)</f>
        <v>0.3</v>
      </c>
      <c r="F51" s="10">
        <f>VLOOKUP(A51,'[1]ERPs by country'!$A$8:$F$164,6)</f>
        <v>0.12015052793348746</v>
      </c>
    </row>
    <row r="52" spans="1:6" ht="15">
      <c r="A52" s="11" t="str">
        <f>'[1]ERPs by country'!A58</f>
        <v>Fiji</v>
      </c>
      <c r="B52" s="9">
        <f>VLOOKUP(A52,'[1]ERPs by country'!$A$8:$F$164,5)</f>
        <v>0.10337526396674374</v>
      </c>
      <c r="C52" s="9">
        <f>VLOOKUP(A52,'[1]ERPs by country'!$A$8:$F$164,4)</f>
        <v>4.4582827093148182E-2</v>
      </c>
      <c r="D52" s="9">
        <f t="shared" si="0"/>
        <v>0.10337526396674374</v>
      </c>
      <c r="E52" s="9">
        <f>VLOOKUP(A52,'[1]Country Tax Rates'!$A$2:$B$159,2)</f>
        <v>0.2</v>
      </c>
      <c r="F52" s="10">
        <f>VLOOKUP(A52,'[1]ERPs by country'!$A$8:$F$164,6)</f>
        <v>6.007526396674373E-2</v>
      </c>
    </row>
    <row r="53" spans="1:6" ht="15">
      <c r="A53" s="11" t="str">
        <f>'[1]ERPs by country'!A59</f>
        <v>Finland</v>
      </c>
      <c r="B53" s="9">
        <f>VLOOKUP(A53,'[1]ERPs by country'!$A$8:$F$164,5)</f>
        <v>4.8633052153705711E-2</v>
      </c>
      <c r="C53" s="9">
        <f>VLOOKUP(A53,'[1]ERPs by country'!$A$8:$F$164,4)</f>
        <v>3.9577444416893943E-3</v>
      </c>
      <c r="D53" s="9">
        <f t="shared" si="0"/>
        <v>4.8633052153705711E-2</v>
      </c>
      <c r="E53" s="9">
        <f>VLOOKUP(A53,'[1]Country Tax Rates'!$A$2:$B$159,2)</f>
        <v>0.2</v>
      </c>
      <c r="F53" s="10">
        <f>VLOOKUP(A53,'[1]ERPs by country'!$A$8:$F$164,6)</f>
        <v>5.3330521537057092E-3</v>
      </c>
    </row>
    <row r="54" spans="1:6" ht="15">
      <c r="A54" s="11" t="str">
        <f>'[1]ERPs by country'!A60</f>
        <v>France</v>
      </c>
      <c r="B54" s="9">
        <f>VLOOKUP(A54,'[1]ERPs by country'!$A$8:$F$164,5)</f>
        <v>5.1299578230558564E-2</v>
      </c>
      <c r="C54" s="9">
        <f>VLOOKUP(A54,'[1]ERPs by country'!$A$8:$F$164,4)</f>
        <v>5.9366166625340932E-3</v>
      </c>
      <c r="D54" s="9">
        <f t="shared" si="0"/>
        <v>5.1299578230558564E-2</v>
      </c>
      <c r="E54" s="9">
        <f>VLOOKUP(A54,'[1]Country Tax Rates'!$A$2:$B$159,2)</f>
        <v>0.25</v>
      </c>
      <c r="F54" s="10">
        <f>VLOOKUP(A54,'[1]ERPs by country'!$A$8:$F$164,6)</f>
        <v>7.9995782305585655E-3</v>
      </c>
    </row>
    <row r="55" spans="1:6" ht="15">
      <c r="A55" s="11" t="str">
        <f>'[1]ERPs by country'!A61</f>
        <v>Gabon</v>
      </c>
      <c r="B55" s="9">
        <f>VLOOKUP(A55,'[1]ERPs by country'!$A$8:$F$164,5)</f>
        <v>0.16345052793348747</v>
      </c>
      <c r="C55" s="9">
        <f>VLOOKUP(A55,'[1]ERPs by country'!$A$8:$F$164,4)</f>
        <v>8.9165654186296364E-2</v>
      </c>
      <c r="D55" s="9">
        <f t="shared" si="0"/>
        <v>0.16345052793348747</v>
      </c>
      <c r="E55" s="9">
        <f>VLOOKUP(A55,'[1]Country Tax Rates'!$A$2:$B$159,2)</f>
        <v>0.3</v>
      </c>
      <c r="F55" s="10">
        <f>VLOOKUP(A55,'[1]ERPs by country'!$A$8:$F$164,6)</f>
        <v>0.12015052793348746</v>
      </c>
    </row>
    <row r="56" spans="1:6" ht="15">
      <c r="A56" s="11" t="str">
        <f>'[1]ERPs by country'!A62</f>
        <v>Georgia</v>
      </c>
      <c r="B56" s="9">
        <f>VLOOKUP(A56,'[1]ERPs by country'!$A$8:$F$164,5)</f>
        <v>8.3454745627901811E-2</v>
      </c>
      <c r="C56" s="9">
        <f>VLOOKUP(A56,'[1]ERPs by country'!$A$8:$F$164,4)</f>
        <v>2.9799487560955448E-2</v>
      </c>
      <c r="D56" s="9">
        <f t="shared" si="0"/>
        <v>8.3454745627901811E-2</v>
      </c>
      <c r="E56" s="9">
        <f>VLOOKUP(A56,'[1]Country Tax Rates'!$A$2:$B$159,2)</f>
        <v>0.15</v>
      </c>
      <c r="F56" s="10">
        <f>VLOOKUP(A56,'[1]ERPs by country'!$A$8:$F$164,6)</f>
        <v>4.0154745627901819E-2</v>
      </c>
    </row>
    <row r="57" spans="1:6" ht="15">
      <c r="A57" s="11" t="str">
        <f>'[1]ERPs by country'!A63</f>
        <v>Germany</v>
      </c>
      <c r="B57" s="9">
        <f>VLOOKUP(A57,'[1]ERPs by country'!$A$8:$F$164,5)</f>
        <v>4.3299999999999998E-2</v>
      </c>
      <c r="C57" s="9">
        <f>VLOOKUP(A57,'[1]ERPs by country'!$A$8:$F$164,4)</f>
        <v>0</v>
      </c>
      <c r="D57" s="9">
        <f t="shared" si="0"/>
        <v>4.3299999999999998E-2</v>
      </c>
      <c r="E57" s="9">
        <f>VLOOKUP(A57,'[1]Country Tax Rates'!$A$2:$B$159,2)</f>
        <v>0.3</v>
      </c>
      <c r="F57" s="10">
        <f>VLOOKUP(A57,'[1]ERPs by country'!$A$8:$F$164,6)</f>
        <v>0</v>
      </c>
    </row>
    <row r="58" spans="1:6" ht="15">
      <c r="A58" s="11" t="str">
        <f>'[1]ERPs by country'!A64</f>
        <v>Ghana</v>
      </c>
      <c r="B58" s="9">
        <f>VLOOKUP(A58,'[1]ERPs by country'!$A$8:$F$164,5)</f>
        <v>0.16345052793348747</v>
      </c>
      <c r="C58" s="9">
        <f>VLOOKUP(A58,'[1]ERPs by country'!$A$8:$F$164,4)</f>
        <v>8.9165654186296364E-2</v>
      </c>
      <c r="D58" s="9">
        <f t="shared" si="0"/>
        <v>0.16345052793348747</v>
      </c>
      <c r="E58" s="9">
        <f>VLOOKUP(A58,'[1]Country Tax Rates'!$A$2:$B$159,2)</f>
        <v>0.25</v>
      </c>
      <c r="F58" s="10">
        <f>VLOOKUP(A58,'[1]ERPs by country'!$A$8:$F$164,6)</f>
        <v>0.12015052793348746</v>
      </c>
    </row>
    <row r="59" spans="1:6" ht="15">
      <c r="A59" s="11" t="str">
        <f>'[1]ERPs by country'!A65</f>
        <v>Greece</v>
      </c>
      <c r="B59" s="9">
        <f>VLOOKUP(A59,'[1]ERPs by country'!$A$8:$F$164,5)</f>
        <v>7.6710003198215193E-2</v>
      </c>
      <c r="C59" s="9">
        <f>VLOOKUP(A59,'[1]ERPs by country'!$A$8:$F$164,4)</f>
        <v>2.4794104884701216E-2</v>
      </c>
      <c r="D59" s="9">
        <f t="shared" si="0"/>
        <v>7.6710003198215193E-2</v>
      </c>
      <c r="E59" s="9">
        <f>VLOOKUP(A59,'[1]Country Tax Rates'!$A$2:$B$159,2)</f>
        <v>0.22</v>
      </c>
      <c r="F59" s="10">
        <f>VLOOKUP(A59,'[1]ERPs by country'!$A$8:$F$164,6)</f>
        <v>3.3410003198215195E-2</v>
      </c>
    </row>
    <row r="60" spans="1:6" ht="15">
      <c r="A60" s="11" t="str">
        <f>'[1]ERPs by country'!A66</f>
        <v>Guatemala</v>
      </c>
      <c r="B60" s="9">
        <f>VLOOKUP(A60,'[1]ERPs by country'!$A$8:$F$164,5)</f>
        <v>7.6710003198215193E-2</v>
      </c>
      <c r="C60" s="9">
        <f>VLOOKUP(A60,'[1]ERPs by country'!$A$8:$F$164,4)</f>
        <v>2.4794104884701216E-2</v>
      </c>
      <c r="D60" s="9">
        <f t="shared" si="0"/>
        <v>7.6710003198215193E-2</v>
      </c>
      <c r="E60" s="9">
        <f>VLOOKUP(A60,'[1]Country Tax Rates'!$A$2:$B$159,2)</f>
        <v>0.25</v>
      </c>
      <c r="F60" s="10">
        <f>VLOOKUP(A60,'[1]ERPs by country'!$A$8:$F$164,6)</f>
        <v>3.3410003198215195E-2</v>
      </c>
    </row>
    <row r="61" spans="1:6" ht="15">
      <c r="A61" s="11" t="str">
        <f>'[1]ERPs by country'!A67</f>
        <v>Guernsey (States of)</v>
      </c>
      <c r="B61" s="9">
        <f>VLOOKUP(A61,'[1]ERPs by country'!$A$8:$F$164,5)</f>
        <v>5.271126850653949E-2</v>
      </c>
      <c r="C61" s="9">
        <f>VLOOKUP(A61,'[1]ERPs by country'!$A$8:$F$164,4)</f>
        <v>6.9842548970989338E-3</v>
      </c>
      <c r="D61" s="9">
        <f t="shared" si="0"/>
        <v>5.271126850653949E-2</v>
      </c>
      <c r="E61" s="9">
        <f>VLOOKUP(A61,'[1]Country Tax Rates'!$A$2:$B$159,2)</f>
        <v>0</v>
      </c>
      <c r="F61" s="10">
        <f>VLOOKUP(A61,'[1]ERPs by country'!$A$8:$F$164,6)</f>
        <v>9.4112685065394896E-3</v>
      </c>
    </row>
    <row r="62" spans="1:6" ht="15">
      <c r="A62" s="11" t="str">
        <f>'[1]ERPs by country'!A68</f>
        <v>Honduras</v>
      </c>
      <c r="B62" s="9">
        <f>VLOOKUP(A62,'[1]ERPs by country'!$A$8:$F$164,5)</f>
        <v>0.10337526396674374</v>
      </c>
      <c r="C62" s="9">
        <f>VLOOKUP(A62,'[1]ERPs by country'!$A$8:$F$164,4)</f>
        <v>4.4582827093148182E-2</v>
      </c>
      <c r="D62" s="9">
        <f t="shared" si="0"/>
        <v>0.10337526396674374</v>
      </c>
      <c r="E62" s="9">
        <f>VLOOKUP(A62,'[1]Country Tax Rates'!$A$2:$B$159,2)</f>
        <v>0.25</v>
      </c>
      <c r="F62" s="10">
        <f>VLOOKUP(A62,'[1]ERPs by country'!$A$8:$F$164,6)</f>
        <v>6.007526396674373E-2</v>
      </c>
    </row>
    <row r="63" spans="1:6" ht="15">
      <c r="A63" s="11" t="str">
        <f>'[1]ERPs by country'!A69</f>
        <v>Hong Kong</v>
      </c>
      <c r="B63" s="9">
        <f>VLOOKUP(A63,'[1]ERPs by country'!$A$8:$F$164,5)</f>
        <v>5.1299578230558564E-2</v>
      </c>
      <c r="C63" s="9">
        <f>VLOOKUP(A63,'[1]ERPs by country'!$A$8:$F$164,4)</f>
        <v>5.9366166625340932E-3</v>
      </c>
      <c r="D63" s="9">
        <f t="shared" si="0"/>
        <v>5.1299578230558564E-2</v>
      </c>
      <c r="E63" s="9">
        <f>VLOOKUP(A63,'[1]Country Tax Rates'!$A$2:$B$159,2)</f>
        <v>0.16500000000000001</v>
      </c>
      <c r="F63" s="10">
        <f>VLOOKUP(A63,'[1]ERPs by country'!$A$8:$F$164,6)</f>
        <v>7.9995782305585655E-3</v>
      </c>
    </row>
    <row r="64" spans="1:6" ht="15">
      <c r="A64" s="11" t="str">
        <f>'[1]ERPs by country'!A70</f>
        <v>Hungary</v>
      </c>
      <c r="B64" s="9">
        <f>VLOOKUP(A64,'[1]ERPs by country'!$A$8:$F$164,5)</f>
        <v>6.8710424967656614E-2</v>
      </c>
      <c r="C64" s="9">
        <f>VLOOKUP(A64,'[1]ERPs by country'!$A$8:$F$164,4)</f>
        <v>1.885748822216712E-2</v>
      </c>
      <c r="D64" s="9">
        <f t="shared" si="0"/>
        <v>6.8710424967656614E-2</v>
      </c>
      <c r="E64" s="9">
        <f>VLOOKUP(A64,'[1]Country Tax Rates'!$A$2:$B$159,2)</f>
        <v>0.09</v>
      </c>
      <c r="F64" s="10">
        <f>VLOOKUP(A64,'[1]ERPs by country'!$A$8:$F$164,6)</f>
        <v>2.5410424967656622E-2</v>
      </c>
    </row>
    <row r="65" spans="1:6" ht="15">
      <c r="A65" s="11" t="str">
        <f>'[1]ERPs by country'!A71</f>
        <v>Iceland</v>
      </c>
      <c r="B65" s="9">
        <f>VLOOKUP(A65,'[1]ERPs by country'!$A$8:$F$164,5)</f>
        <v>5.271126850653949E-2</v>
      </c>
      <c r="C65" s="9">
        <f>VLOOKUP(A65,'[1]ERPs by country'!$A$8:$F$164,4)</f>
        <v>6.9842548970989338E-3</v>
      </c>
      <c r="D65" s="9">
        <f t="shared" si="0"/>
        <v>5.271126850653949E-2</v>
      </c>
      <c r="E65" s="9">
        <f>VLOOKUP(A65,'[1]Country Tax Rates'!$A$2:$B$159,2)</f>
        <v>0.2</v>
      </c>
      <c r="F65" s="10">
        <f>VLOOKUP(A65,'[1]ERPs by country'!$A$8:$F$164,6)</f>
        <v>9.4112685065394896E-3</v>
      </c>
    </row>
    <row r="66" spans="1:6" ht="15">
      <c r="A66" s="11" t="str">
        <f>'[1]ERPs by country'!A72</f>
        <v>India</v>
      </c>
      <c r="B66" s="9">
        <f>VLOOKUP(A66,'[1]ERPs by country'!$A$8:$F$164,5)</f>
        <v>7.2631786845381408E-2</v>
      </c>
      <c r="C66" s="9">
        <f>VLOOKUP(A66,'[1]ERPs by country'!$A$8:$F$164,4)</f>
        <v>2.1767594429291676E-2</v>
      </c>
      <c r="D66" s="9">
        <f t="shared" si="0"/>
        <v>7.2631786845381408E-2</v>
      </c>
      <c r="E66" s="9">
        <f>VLOOKUP(A66,'[1]Country Tax Rates'!$A$2:$B$159,2)</f>
        <v>0.3</v>
      </c>
      <c r="F66" s="10">
        <f>VLOOKUP(A66,'[1]ERPs by country'!$A$8:$F$164,6)</f>
        <v>2.9331786845381409E-2</v>
      </c>
    </row>
    <row r="67" spans="1:6" ht="15">
      <c r="A67" s="11" t="str">
        <f>'[1]ERPs by country'!A73</f>
        <v>Indonesia</v>
      </c>
      <c r="B67" s="9">
        <f>VLOOKUP(A67,'[1]ERPs by country'!$A$8:$F$164,5)</f>
        <v>6.8710424967656614E-2</v>
      </c>
      <c r="C67" s="9">
        <f>VLOOKUP(A67,'[1]ERPs by country'!$A$8:$F$164,4)</f>
        <v>1.885748822216712E-2</v>
      </c>
      <c r="D67" s="9">
        <f t="shared" ref="D67:D130" si="1">B67</f>
        <v>6.8710424967656614E-2</v>
      </c>
      <c r="E67" s="9">
        <f>VLOOKUP(A67,'[1]Country Tax Rates'!$A$2:$B$159,2)</f>
        <v>0.22</v>
      </c>
      <c r="F67" s="10">
        <f>VLOOKUP(A67,'[1]ERPs by country'!$A$8:$F$164,6)</f>
        <v>2.5410424967656622E-2</v>
      </c>
    </row>
    <row r="68" spans="1:6" ht="15">
      <c r="A68" s="11" t="str">
        <f>'[1]ERPs by country'!A74</f>
        <v>Iraq</v>
      </c>
      <c r="B68" s="9">
        <f>VLOOKUP(A68,'[1]ERPs by country'!$A$8:$F$164,5)</f>
        <v>0.14337315511953655</v>
      </c>
      <c r="C68" s="9">
        <f>VLOOKUP(A68,'[1]ERPs by country'!$A$8:$F$164,4)</f>
        <v>7.4265910405818647E-2</v>
      </c>
      <c r="D68" s="9">
        <f t="shared" si="1"/>
        <v>0.14337315511953655</v>
      </c>
      <c r="E68" s="9">
        <f>VLOOKUP(A68,'[1]Country Tax Rates'!$A$2:$B$159,2)</f>
        <v>0.15</v>
      </c>
      <c r="F68" s="10">
        <f>VLOOKUP(A68,'[1]ERPs by country'!$A$8:$F$164,6)</f>
        <v>0.10007315511953656</v>
      </c>
    </row>
    <row r="69" spans="1:6" ht="15">
      <c r="A69" s="11" t="str">
        <f>'[1]ERPs by country'!A75</f>
        <v>Ireland</v>
      </c>
      <c r="B69" s="9">
        <f>VLOOKUP(A69,'[1]ERPs by country'!$A$8:$F$164,5)</f>
        <v>5.1299578230558564E-2</v>
      </c>
      <c r="C69" s="9">
        <f>VLOOKUP(A69,'[1]ERPs by country'!$A$8:$F$164,4)</f>
        <v>5.9366166625340932E-3</v>
      </c>
      <c r="D69" s="9">
        <f t="shared" si="1"/>
        <v>5.1299578230558564E-2</v>
      </c>
      <c r="E69" s="9">
        <f>VLOOKUP(A69,'[1]Country Tax Rates'!$A$2:$B$159,2)</f>
        <v>0.125</v>
      </c>
      <c r="F69" s="10">
        <f>VLOOKUP(A69,'[1]ERPs by country'!$A$8:$F$164,6)</f>
        <v>7.9995782305585655E-3</v>
      </c>
    </row>
    <row r="70" spans="1:6" ht="15">
      <c r="A70" s="11" t="str">
        <f>'[1]ERPs by country'!A76</f>
        <v>Isle of Man</v>
      </c>
      <c r="B70" s="9">
        <f>VLOOKUP(A70,'[1]ERPs by country'!$A$8:$F$164,5)</f>
        <v>5.1299578230558564E-2</v>
      </c>
      <c r="C70" s="9">
        <f>VLOOKUP(A70,'[1]ERPs by country'!$A$8:$F$164,4)</f>
        <v>5.9366166625340932E-3</v>
      </c>
      <c r="D70" s="9">
        <f t="shared" si="1"/>
        <v>5.1299578230558564E-2</v>
      </c>
      <c r="E70" s="9">
        <f>VLOOKUP(A70,'[1]Country Tax Rates'!$A$2:$B$159,2)</f>
        <v>0</v>
      </c>
      <c r="F70" s="10">
        <f>VLOOKUP(A70,'[1]ERPs by country'!$A$8:$F$164,6)</f>
        <v>7.9995782305585655E-3</v>
      </c>
    </row>
    <row r="71" spans="1:6" ht="15">
      <c r="A71" s="11" t="str">
        <f>'[1]ERPs by country'!A77</f>
        <v>Israel</v>
      </c>
      <c r="B71" s="9">
        <f>VLOOKUP(A71,'[1]ERPs by country'!$A$8:$F$164,5)</f>
        <v>6.4632208614822828E-2</v>
      </c>
      <c r="C71" s="9">
        <f>VLOOKUP(A71,'[1]ERPs by country'!$A$8:$F$164,4)</f>
        <v>1.5830977766757577E-2</v>
      </c>
      <c r="D71" s="9">
        <f t="shared" si="1"/>
        <v>6.4632208614822828E-2</v>
      </c>
      <c r="E71" s="9">
        <f>VLOOKUP(A71,'[1]Country Tax Rates'!$A$2:$B$159,2)</f>
        <v>0.23</v>
      </c>
      <c r="F71" s="10">
        <f>VLOOKUP(A71,'[1]ERPs by country'!$A$8:$F$164,6)</f>
        <v>2.1332208614822837E-2</v>
      </c>
    </row>
    <row r="72" spans="1:6" ht="15">
      <c r="A72" s="11" t="str">
        <f>'[1]ERPs by country'!A78</f>
        <v>Italy</v>
      </c>
      <c r="B72" s="9">
        <f>VLOOKUP(A72,'[1]ERPs by country'!$A$8:$F$164,5)</f>
        <v>7.2631786845381408E-2</v>
      </c>
      <c r="C72" s="9">
        <f>VLOOKUP(A72,'[1]ERPs by country'!$A$8:$F$164,4)</f>
        <v>2.1767594429291676E-2</v>
      </c>
      <c r="D72" s="9">
        <f t="shared" si="1"/>
        <v>7.2631786845381408E-2</v>
      </c>
      <c r="E72" s="9">
        <f>VLOOKUP(A72,'[1]Country Tax Rates'!$A$2:$B$159,2)</f>
        <v>0.24</v>
      </c>
      <c r="F72" s="10">
        <f>VLOOKUP(A72,'[1]ERPs by country'!$A$8:$F$164,6)</f>
        <v>2.9331786845381409E-2</v>
      </c>
    </row>
    <row r="73" spans="1:6" ht="15">
      <c r="A73" s="11" t="str">
        <f>'[1]ERPs by country'!A79</f>
        <v>Jamaica</v>
      </c>
      <c r="B73" s="9">
        <f>VLOOKUP(A73,'[1]ERPs by country'!$A$8:$F$164,5)</f>
        <v>0.10337526396674374</v>
      </c>
      <c r="C73" s="9">
        <f>VLOOKUP(A73,'[1]ERPs by country'!$A$8:$F$164,4)</f>
        <v>4.4582827093148182E-2</v>
      </c>
      <c r="D73" s="9">
        <f t="shared" si="1"/>
        <v>0.10337526396674374</v>
      </c>
      <c r="E73" s="9">
        <f>VLOOKUP(A73,'[1]Country Tax Rates'!$A$2:$B$159,2)</f>
        <v>0.25</v>
      </c>
      <c r="F73" s="10">
        <f>VLOOKUP(A73,'[1]ERPs by country'!$A$8:$F$164,6)</f>
        <v>6.007526396674373E-2</v>
      </c>
    </row>
    <row r="74" spans="1:6" ht="15">
      <c r="A74" s="11" t="str">
        <f>'[1]ERPs by country'!A80</f>
        <v>Japan</v>
      </c>
      <c r="B74" s="9">
        <f>VLOOKUP(A74,'[1]ERPs by country'!$A$8:$F$164,5)</f>
        <v>5.271126850653949E-2</v>
      </c>
      <c r="C74" s="9">
        <f>VLOOKUP(A74,'[1]ERPs by country'!$A$8:$F$164,4)</f>
        <v>6.9842548970989338E-3</v>
      </c>
      <c r="D74" s="9">
        <f t="shared" si="1"/>
        <v>5.271126850653949E-2</v>
      </c>
      <c r="E74" s="9">
        <f>VLOOKUP(A74,'[1]Country Tax Rates'!$A$2:$B$159,2)</f>
        <v>0.30620000000000003</v>
      </c>
      <c r="F74" s="10">
        <f>VLOOKUP(A74,'[1]ERPs by country'!$A$8:$F$164,6)</f>
        <v>9.4112685065394896E-3</v>
      </c>
    </row>
    <row r="75" spans="1:6" ht="15">
      <c r="A75" s="11" t="str">
        <f>'[1]ERPs by country'!A81</f>
        <v>Jersey (States of)</v>
      </c>
      <c r="B75" s="9">
        <f>VLOOKUP(A75,'[1]ERPs by country'!$A$8:$F$164,5)</f>
        <v>4.9887887954577638E-2</v>
      </c>
      <c r="C75" s="9">
        <f>VLOOKUP(A75,'[1]ERPs by country'!$A$8:$F$164,4)</f>
        <v>4.8889784279692525E-3</v>
      </c>
      <c r="D75" s="9">
        <f t="shared" si="1"/>
        <v>4.9887887954577638E-2</v>
      </c>
      <c r="E75" s="9">
        <f>VLOOKUP(A75,'[1]Country Tax Rates'!$A$2:$B$159,2)</f>
        <v>0</v>
      </c>
      <c r="F75" s="10">
        <f>VLOOKUP(A75,'[1]ERPs by country'!$A$8:$F$164,6)</f>
        <v>6.5878879545776415E-3</v>
      </c>
    </row>
    <row r="76" spans="1:6" ht="15">
      <c r="A76" s="11" t="str">
        <f>'[1]ERPs by country'!A82</f>
        <v>Jordan</v>
      </c>
      <c r="B76" s="9">
        <f>VLOOKUP(A76,'[1]ERPs by country'!$A$8:$F$164,5)</f>
        <v>9.1297469383351385E-2</v>
      </c>
      <c r="C76" s="9">
        <f>VLOOKUP(A76,'[1]ERPs by country'!$A$8:$F$164,4)</f>
        <v>3.5619699975204554E-2</v>
      </c>
      <c r="D76" s="9">
        <f t="shared" si="1"/>
        <v>9.1297469383351385E-2</v>
      </c>
      <c r="E76" s="9">
        <f>VLOOKUP(A76,'[1]Country Tax Rates'!$A$2:$B$159,2)</f>
        <v>0.2</v>
      </c>
      <c r="F76" s="10">
        <f>VLOOKUP(A76,'[1]ERPs by country'!$A$8:$F$164,6)</f>
        <v>4.7997469383351386E-2</v>
      </c>
    </row>
    <row r="77" spans="1:6" ht="15">
      <c r="A77" s="11" t="str">
        <f>'[1]ERPs by country'!A83</f>
        <v>Kazakhstan</v>
      </c>
      <c r="B77" s="9">
        <f>VLOOKUP(A77,'[1]ERPs by country'!$A$8:$F$164,5)</f>
        <v>6.4632208614822828E-2</v>
      </c>
      <c r="C77" s="9">
        <f>VLOOKUP(A77,'[1]ERPs by country'!$A$8:$F$164,4)</f>
        <v>1.5830977766757577E-2</v>
      </c>
      <c r="D77" s="9">
        <f t="shared" si="1"/>
        <v>6.4632208614822828E-2</v>
      </c>
      <c r="E77" s="9">
        <f>VLOOKUP(A77,'[1]Country Tax Rates'!$A$2:$B$159,2)</f>
        <v>0.2</v>
      </c>
      <c r="F77" s="10">
        <f>VLOOKUP(A77,'[1]ERPs by country'!$A$8:$F$164,6)</f>
        <v>2.1332208614822837E-2</v>
      </c>
    </row>
    <row r="78" spans="1:6" ht="15">
      <c r="A78" s="11" t="str">
        <f>'[1]ERPs by country'!A84</f>
        <v>Kenya</v>
      </c>
      <c r="B78" s="9">
        <f>VLOOKUP(A78,'[1]ERPs by country'!$A$8:$F$164,5)</f>
        <v>0.14337315511953655</v>
      </c>
      <c r="C78" s="9">
        <f>VLOOKUP(A78,'[1]ERPs by country'!$A$8:$F$164,4)</f>
        <v>7.4265910405818647E-2</v>
      </c>
      <c r="D78" s="9">
        <f t="shared" si="1"/>
        <v>0.14337315511953655</v>
      </c>
      <c r="E78" s="9">
        <f>VLOOKUP(A78,'[1]Country Tax Rates'!$A$2:$B$159,2)</f>
        <v>0.3</v>
      </c>
      <c r="F78" s="10">
        <f>VLOOKUP(A78,'[1]ERPs by country'!$A$8:$F$164,6)</f>
        <v>0.10007315511953656</v>
      </c>
    </row>
    <row r="79" spans="1:6" ht="15">
      <c r="A79" s="11" t="str">
        <f>'[1]ERPs by country'!A85</f>
        <v>Korea</v>
      </c>
      <c r="B79" s="9">
        <f>VLOOKUP(A79,'[1]ERPs by country'!$A$8:$F$164,5)</f>
        <v>4.9887887954577638E-2</v>
      </c>
      <c r="C79" s="9">
        <f>VLOOKUP(A79,'[1]ERPs by country'!$A$8:$F$164,4)</f>
        <v>4.8889784279692525E-3</v>
      </c>
      <c r="D79" s="9">
        <f t="shared" si="1"/>
        <v>4.9887887954577638E-2</v>
      </c>
      <c r="E79" s="9">
        <f>VLOOKUP(A79,'[1]Country Tax Rates'!$A$2:$B$159,2)</f>
        <v>0.25</v>
      </c>
      <c r="F79" s="10">
        <f>VLOOKUP(A79,'[1]ERPs by country'!$A$8:$F$164,6)</f>
        <v>6.5878879545776415E-3</v>
      </c>
    </row>
    <row r="80" spans="1:6" ht="15">
      <c r="A80" s="11" t="str">
        <f>'[1]ERPs by country'!A86</f>
        <v>Kuwait</v>
      </c>
      <c r="B80" s="9">
        <f>VLOOKUP(A80,'[1]ERPs by country'!$A$8:$F$164,5)</f>
        <v>5.271126850653949E-2</v>
      </c>
      <c r="C80" s="9">
        <f>VLOOKUP(A80,'[1]ERPs by country'!$A$8:$F$164,4)</f>
        <v>6.9842548970989338E-3</v>
      </c>
      <c r="D80" s="9">
        <f t="shared" si="1"/>
        <v>5.271126850653949E-2</v>
      </c>
      <c r="E80" s="9">
        <f>VLOOKUP(A80,'[1]Country Tax Rates'!$A$2:$B$159,2)</f>
        <v>0.15</v>
      </c>
      <c r="F80" s="10">
        <f>VLOOKUP(A80,'[1]ERPs by country'!$A$8:$F$164,6)</f>
        <v>9.4112685065394896E-3</v>
      </c>
    </row>
    <row r="81" spans="1:6" ht="15">
      <c r="A81" s="11" t="str">
        <f>'[1]ERPs by country'!A87</f>
        <v>Kyrgyzstan</v>
      </c>
      <c r="B81" s="9">
        <f>VLOOKUP(A81,'[1]ERPs by country'!$A$8:$F$164,5)</f>
        <v>0.13004052473527228</v>
      </c>
      <c r="C81" s="9">
        <f>VLOOKUP(A81,'[1]ERPs by country'!$A$8:$F$164,4)</f>
        <v>6.4371549301595152E-2</v>
      </c>
      <c r="D81" s="9">
        <f t="shared" si="1"/>
        <v>0.13004052473527228</v>
      </c>
      <c r="E81" s="9">
        <f>VLOOKUP(A81,'[1]Country Tax Rates'!$A$2:$B$159,2)</f>
        <v>0.1</v>
      </c>
      <c r="F81" s="10">
        <f>VLOOKUP(A81,'[1]ERPs by country'!$A$8:$F$164,6)</f>
        <v>8.6740524735272273E-2</v>
      </c>
    </row>
    <row r="82" spans="1:6" ht="15">
      <c r="A82" s="11" t="str">
        <f>'[1]ERPs by country'!A88</f>
        <v>Laos</v>
      </c>
      <c r="B82" s="9">
        <f>VLOOKUP(A82,'[1]ERPs by country'!$A$8:$F$164,5)</f>
        <v>0.17678315831775177</v>
      </c>
      <c r="C82" s="9">
        <f>VLOOKUP(A82,'[1]ERPs by country'!$A$8:$F$164,4)</f>
        <v>9.9060015290519873E-2</v>
      </c>
      <c r="D82" s="9">
        <f t="shared" si="1"/>
        <v>0.17678315831775177</v>
      </c>
      <c r="E82" s="9">
        <f>VLOOKUP(A82,'[1]Country Tax Rates'!$A$2:$B$159,2)</f>
        <v>0.26860000000000001</v>
      </c>
      <c r="F82" s="10">
        <f>VLOOKUP(A82,'[1]ERPs by country'!$A$8:$F$164,6)</f>
        <v>0.13348315831775176</v>
      </c>
    </row>
    <row r="83" spans="1:6" ht="15">
      <c r="A83" s="11" t="str">
        <f>'[1]ERPs by country'!A89</f>
        <v>Latvia</v>
      </c>
      <c r="B83" s="9">
        <f>VLOOKUP(A83,'[1]ERPs by country'!$A$8:$F$164,5)</f>
        <v>5.9299156461117129E-2</v>
      </c>
      <c r="C83" s="9">
        <f>VLOOKUP(A83,'[1]ERPs by country'!$A$8:$F$164,4)</f>
        <v>1.1873233325068186E-2</v>
      </c>
      <c r="D83" s="9">
        <f t="shared" si="1"/>
        <v>5.9299156461117129E-2</v>
      </c>
      <c r="E83" s="9">
        <f>VLOOKUP(A83,'[1]Country Tax Rates'!$A$2:$B$159,2)</f>
        <v>0.2</v>
      </c>
      <c r="F83" s="10">
        <f>VLOOKUP(A83,'[1]ERPs by country'!$A$8:$F$164,6)</f>
        <v>1.5999156461117131E-2</v>
      </c>
    </row>
    <row r="84" spans="1:6" ht="15">
      <c r="A84" s="11" t="str">
        <f>'[1]ERPs by country'!A90</f>
        <v>Lebanon</v>
      </c>
      <c r="B84" s="9">
        <f>VLOOKUP(A84,'[1]ERPs by country'!$A$8:$F$164,5)</f>
        <v>0.27911212497392057</v>
      </c>
      <c r="C84" s="9">
        <f>VLOOKUP(A84,'[1]ERPs by country'!$A$8:$F$164,4)</f>
        <v>0.17499999999999999</v>
      </c>
      <c r="D84" s="9">
        <f t="shared" si="1"/>
        <v>0.27911212497392057</v>
      </c>
      <c r="E84" s="9">
        <f>VLOOKUP(A84,'[1]Country Tax Rates'!$A$2:$B$159,2)</f>
        <v>0.17</v>
      </c>
      <c r="F84" s="10">
        <f>VLOOKUP(A84,'[1]ERPs by country'!$A$8:$F$164,6)</f>
        <v>0.23581212497392059</v>
      </c>
    </row>
    <row r="85" spans="1:6" ht="15">
      <c r="A85" s="11" t="str">
        <f>'[1]ERPs by country'!A91</f>
        <v>Liechtenstein</v>
      </c>
      <c r="B85" s="9">
        <f>VLOOKUP(A85,'[1]ERPs by country'!$A$8:$F$164,5)</f>
        <v>4.3299999999999998E-2</v>
      </c>
      <c r="C85" s="9">
        <f>VLOOKUP(A85,'[1]ERPs by country'!$A$8:$F$164,4)</f>
        <v>0</v>
      </c>
      <c r="D85" s="9">
        <f t="shared" si="1"/>
        <v>4.3299999999999998E-2</v>
      </c>
      <c r="E85" s="9">
        <f>VLOOKUP(A85,'[1]Country Tax Rates'!$A$2:$B$159,2)</f>
        <v>0.125</v>
      </c>
      <c r="F85" s="10">
        <f>VLOOKUP(A85,'[1]ERPs by country'!$A$8:$F$164,6)</f>
        <v>0</v>
      </c>
    </row>
    <row r="86" spans="1:6" ht="15">
      <c r="A86" s="11" t="str">
        <f>'[1]ERPs by country'!A92</f>
        <v>Lithuania</v>
      </c>
      <c r="B86" s="9">
        <f>VLOOKUP(A86,'[1]ERPs by country'!$A$8:$F$164,5)</f>
        <v>5.4593522207847384E-2</v>
      </c>
      <c r="C86" s="9">
        <f>VLOOKUP(A86,'[1]ERPs by country'!$A$8:$F$164,4)</f>
        <v>8.3811058765187203E-3</v>
      </c>
      <c r="D86" s="9">
        <f t="shared" si="1"/>
        <v>5.4593522207847384E-2</v>
      </c>
      <c r="E86" s="9">
        <f>VLOOKUP(A86,'[1]Country Tax Rates'!$A$2:$B$159,2)</f>
        <v>0.15</v>
      </c>
      <c r="F86" s="10">
        <f>VLOOKUP(A86,'[1]ERPs by country'!$A$8:$F$164,6)</f>
        <v>1.1293522207847389E-2</v>
      </c>
    </row>
    <row r="87" spans="1:6" ht="15">
      <c r="A87" s="11" t="str">
        <f>'[1]ERPs by country'!A93</f>
        <v>Luxembourg</v>
      </c>
      <c r="B87" s="9">
        <f>VLOOKUP(A87,'[1]ERPs by country'!$A$8:$F$164,5)</f>
        <v>4.3299999999999998E-2</v>
      </c>
      <c r="C87" s="9">
        <f>VLOOKUP(A87,'[1]ERPs by country'!$A$8:$F$164,4)</f>
        <v>0</v>
      </c>
      <c r="D87" s="9">
        <f t="shared" si="1"/>
        <v>4.3299999999999998E-2</v>
      </c>
      <c r="E87" s="9">
        <f>VLOOKUP(A87,'[1]Country Tax Rates'!$A$2:$B$159,2)</f>
        <v>0.24940000000000001</v>
      </c>
      <c r="F87" s="10">
        <f>VLOOKUP(A87,'[1]ERPs by country'!$A$8:$F$164,6)</f>
        <v>0</v>
      </c>
    </row>
    <row r="88" spans="1:6" ht="15">
      <c r="A88" s="11" t="str">
        <f>'[1]ERPs by country'!A94</f>
        <v>Macao</v>
      </c>
      <c r="B88" s="9">
        <f>VLOOKUP(A88,'[1]ERPs by country'!$A$8:$F$164,5)</f>
        <v>5.1299578230558564E-2</v>
      </c>
      <c r="C88" s="9">
        <f>VLOOKUP(A88,'[1]ERPs by country'!$A$8:$F$164,4)</f>
        <v>5.9366166625340932E-3</v>
      </c>
      <c r="D88" s="9">
        <f t="shared" si="1"/>
        <v>5.1299578230558564E-2</v>
      </c>
      <c r="E88" s="9">
        <f>VLOOKUP(A88,'[1]Country Tax Rates'!$A$2:$B$159,2)</f>
        <v>0.26860000000000001</v>
      </c>
      <c r="F88" s="10">
        <f>VLOOKUP(A88,'[1]ERPs by country'!$A$8:$F$164,6)</f>
        <v>7.9995782305585655E-3</v>
      </c>
    </row>
    <row r="89" spans="1:6" ht="15">
      <c r="A89" s="11" t="str">
        <f>'[1]ERPs by country'!A95</f>
        <v>Macedonia</v>
      </c>
      <c r="B89" s="9">
        <f>VLOOKUP(A89,'[1]ERPs by country'!$A$8:$F$164,5)</f>
        <v>9.1297469383351385E-2</v>
      </c>
      <c r="C89" s="9">
        <f>VLOOKUP(A89,'[1]ERPs by country'!$A$8:$F$164,4)</f>
        <v>3.5619699975204554E-2</v>
      </c>
      <c r="D89" s="9">
        <f t="shared" si="1"/>
        <v>9.1297469383351385E-2</v>
      </c>
      <c r="E89" s="9">
        <f>VLOOKUP(A89,'[1]Country Tax Rates'!$A$2:$B$159,2)</f>
        <v>0.1</v>
      </c>
      <c r="F89" s="10">
        <f>VLOOKUP(A89,'[1]ERPs by country'!$A$8:$F$164,6)</f>
        <v>4.7997469383351386E-2</v>
      </c>
    </row>
    <row r="90" spans="1:6" ht="15">
      <c r="A90" s="11" t="str">
        <f>'[1]ERPs by country'!A96</f>
        <v>Malaysia</v>
      </c>
      <c r="B90" s="9">
        <f>VLOOKUP(A90,'[1]ERPs by country'!$A$8:$F$164,5)</f>
        <v>5.9299156461117129E-2</v>
      </c>
      <c r="C90" s="9">
        <f>VLOOKUP(A90,'[1]ERPs by country'!$A$8:$F$164,4)</f>
        <v>1.1873233325068186E-2</v>
      </c>
      <c r="D90" s="9">
        <f t="shared" si="1"/>
        <v>5.9299156461117129E-2</v>
      </c>
      <c r="E90" s="9">
        <f>VLOOKUP(A90,'[1]Country Tax Rates'!$A$2:$B$159,2)</f>
        <v>0.24</v>
      </c>
      <c r="F90" s="10">
        <f>VLOOKUP(A90,'[1]ERPs by country'!$A$8:$F$164,6)</f>
        <v>1.5999156461117131E-2</v>
      </c>
    </row>
    <row r="91" spans="1:6" ht="15">
      <c r="A91" s="11" t="str">
        <f>'[1]ERPs by country'!A97</f>
        <v>Maldives</v>
      </c>
      <c r="B91" s="9">
        <f>VLOOKUP(A91,'[1]ERPs by country'!$A$8:$F$164,5)</f>
        <v>0.16345052793348747</v>
      </c>
      <c r="C91" s="9">
        <f>VLOOKUP(A91,'[1]ERPs by country'!$A$8:$F$164,4)</f>
        <v>8.9165654186296364E-2</v>
      </c>
      <c r="D91" s="9">
        <f t="shared" si="1"/>
        <v>0.16345052793348747</v>
      </c>
      <c r="E91" s="9">
        <f>VLOOKUP(A91,'[1]Country Tax Rates'!$A$2:$B$159,2)</f>
        <v>0.26860000000000001</v>
      </c>
      <c r="F91" s="10">
        <f>VLOOKUP(A91,'[1]ERPs by country'!$A$8:$F$164,6)</f>
        <v>0.12015052793348746</v>
      </c>
    </row>
    <row r="92" spans="1:6" ht="15">
      <c r="A92" s="11" t="str">
        <f>'[1]ERPs by country'!A98</f>
        <v>Mali</v>
      </c>
      <c r="B92" s="9">
        <f>VLOOKUP(A92,'[1]ERPs by country'!$A$8:$F$164,5)</f>
        <v>0.16345052793348747</v>
      </c>
      <c r="C92" s="9">
        <f>VLOOKUP(A92,'[1]ERPs by country'!$A$8:$F$164,4)</f>
        <v>8.9165654186296364E-2</v>
      </c>
      <c r="D92" s="9">
        <f t="shared" si="1"/>
        <v>0.16345052793348747</v>
      </c>
      <c r="E92" s="9">
        <f>VLOOKUP(A92,'[1]Country Tax Rates'!$A$2:$B$159,2)</f>
        <v>0.26860000000000001</v>
      </c>
      <c r="F92" s="10">
        <f>VLOOKUP(A92,'[1]ERPs by country'!$A$8:$F$164,6)</f>
        <v>0.12015052793348746</v>
      </c>
    </row>
    <row r="93" spans="1:6" ht="15">
      <c r="A93" s="11" t="str">
        <f>'[1]ERPs by country'!A99</f>
        <v>Malta</v>
      </c>
      <c r="B93" s="9">
        <f>VLOOKUP(A93,'[1]ERPs by country'!$A$8:$F$164,5)</f>
        <v>5.4593522207847384E-2</v>
      </c>
      <c r="C93" s="9">
        <f>VLOOKUP(A93,'[1]ERPs by country'!$A$8:$F$164,4)</f>
        <v>8.3811058765187203E-3</v>
      </c>
      <c r="D93" s="9">
        <f t="shared" si="1"/>
        <v>5.4593522207847384E-2</v>
      </c>
      <c r="E93" s="9">
        <f>VLOOKUP(A93,'[1]Country Tax Rates'!$A$2:$B$159,2)</f>
        <v>0.35</v>
      </c>
      <c r="F93" s="10">
        <f>VLOOKUP(A93,'[1]ERPs by country'!$A$8:$F$164,6)</f>
        <v>1.1293522207847389E-2</v>
      </c>
    </row>
    <row r="94" spans="1:6" ht="15">
      <c r="A94" s="11" t="str">
        <f>'[1]ERPs by country'!A100</f>
        <v>Mauritius</v>
      </c>
      <c r="B94" s="9">
        <f>VLOOKUP(A94,'[1]ERPs by country'!$A$8:$F$164,5)</f>
        <v>7.2631786845381408E-2</v>
      </c>
      <c r="C94" s="9">
        <f>VLOOKUP(A94,'[1]ERPs by country'!$A$8:$F$164,4)</f>
        <v>2.1767594429291676E-2</v>
      </c>
      <c r="D94" s="9">
        <f t="shared" si="1"/>
        <v>7.2631786845381408E-2</v>
      </c>
      <c r="E94" s="9">
        <f>VLOOKUP(A94,'[1]Country Tax Rates'!$A$2:$B$159,2)</f>
        <v>0.15</v>
      </c>
      <c r="F94" s="10">
        <f>VLOOKUP(A94,'[1]ERPs by country'!$A$8:$F$164,6)</f>
        <v>2.9331786845381409E-2</v>
      </c>
    </row>
    <row r="95" spans="1:6" ht="15">
      <c r="A95" s="11" t="str">
        <f>'[1]ERPs by country'!A101</f>
        <v>Mexico</v>
      </c>
      <c r="B95" s="9">
        <f>VLOOKUP(A95,'[1]ERPs by country'!$A$8:$F$164,5)</f>
        <v>6.8710424967656614E-2</v>
      </c>
      <c r="C95" s="9">
        <f>VLOOKUP(A95,'[1]ERPs by country'!$A$8:$F$164,4)</f>
        <v>1.885748822216712E-2</v>
      </c>
      <c r="D95" s="9">
        <f t="shared" si="1"/>
        <v>6.8710424967656614E-2</v>
      </c>
      <c r="E95" s="9">
        <f>VLOOKUP(A95,'[1]Country Tax Rates'!$A$2:$B$159,2)</f>
        <v>0.3</v>
      </c>
      <c r="F95" s="10">
        <f>VLOOKUP(A95,'[1]ERPs by country'!$A$8:$F$164,6)</f>
        <v>2.5410424967656622E-2</v>
      </c>
    </row>
    <row r="96" spans="1:6" ht="15">
      <c r="A96" s="11" t="str">
        <f>'[1]ERPs by country'!A102</f>
        <v>Moldova</v>
      </c>
      <c r="B96" s="9">
        <f>VLOOKUP(A96,'[1]ERPs by country'!$A$8:$F$164,5)</f>
        <v>0.13004052473527228</v>
      </c>
      <c r="C96" s="9">
        <f>VLOOKUP(A96,'[1]ERPs by country'!$A$8:$F$164,4)</f>
        <v>6.4371549301595152E-2</v>
      </c>
      <c r="D96" s="9">
        <f t="shared" si="1"/>
        <v>0.13004052473527228</v>
      </c>
      <c r="E96" s="9">
        <f>VLOOKUP(A96,'[1]Country Tax Rates'!$A$2:$B$159,2)</f>
        <v>0.12</v>
      </c>
      <c r="F96" s="10">
        <f>VLOOKUP(A96,'[1]ERPs by country'!$A$8:$F$164,6)</f>
        <v>8.6740524735272273E-2</v>
      </c>
    </row>
    <row r="97" spans="1:6" ht="15">
      <c r="A97" s="11" t="str">
        <f>'[1]ERPs by country'!A103</f>
        <v>Mongolia</v>
      </c>
      <c r="B97" s="9">
        <f>VLOOKUP(A97,'[1]ERPs by country'!$A$8:$F$164,5)</f>
        <v>0.11670789435100801</v>
      </c>
      <c r="C97" s="9">
        <f>VLOOKUP(A97,'[1]ERPs by country'!$A$8:$F$164,4)</f>
        <v>5.4477188197371677E-2</v>
      </c>
      <c r="D97" s="9">
        <f t="shared" si="1"/>
        <v>0.11670789435100801</v>
      </c>
      <c r="E97" s="9">
        <f>VLOOKUP(A97,'[1]Country Tax Rates'!$A$2:$B$159,2)</f>
        <v>0.25</v>
      </c>
      <c r="F97" s="10">
        <f>VLOOKUP(A97,'[1]ERPs by country'!$A$8:$F$164,6)</f>
        <v>7.3407894351008016E-2</v>
      </c>
    </row>
    <row r="98" spans="1:6" ht="15">
      <c r="A98" s="11" t="str">
        <f>'[1]ERPs by country'!A104</f>
        <v>Montenegro</v>
      </c>
      <c r="B98" s="9">
        <f>VLOOKUP(A98,'[1]ERPs by country'!$A$8:$F$164,5)</f>
        <v>0.10337526396674374</v>
      </c>
      <c r="C98" s="9">
        <f>VLOOKUP(A98,'[1]ERPs by country'!$A$8:$F$164,4)</f>
        <v>4.4582827093148182E-2</v>
      </c>
      <c r="D98" s="9">
        <f t="shared" si="1"/>
        <v>0.10337526396674374</v>
      </c>
      <c r="E98" s="9">
        <f>VLOOKUP(A98,'[1]Country Tax Rates'!$A$2:$B$159,2)</f>
        <v>0.15</v>
      </c>
      <c r="F98" s="10">
        <f>VLOOKUP(A98,'[1]ERPs by country'!$A$8:$F$164,6)</f>
        <v>6.007526396674373E-2</v>
      </c>
    </row>
    <row r="99" spans="1:6" ht="15">
      <c r="A99" s="11" t="str">
        <f>'[1]ERPs by country'!A105</f>
        <v>Montserrat</v>
      </c>
      <c r="B99" s="9">
        <f>VLOOKUP(A99,'[1]ERPs by country'!$A$8:$F$164,5)</f>
        <v>7.2631786845381408E-2</v>
      </c>
      <c r="C99" s="9">
        <f>VLOOKUP(A99,'[1]ERPs by country'!$A$8:$F$164,4)</f>
        <v>2.1767594429291676E-2</v>
      </c>
      <c r="D99" s="9">
        <f t="shared" si="1"/>
        <v>7.2631786845381408E-2</v>
      </c>
      <c r="E99" s="9">
        <f>VLOOKUP(A99,'[1]Country Tax Rates'!$A$2:$B$159,2)</f>
        <v>0.2853</v>
      </c>
      <c r="F99" s="10">
        <f>VLOOKUP(A99,'[1]ERPs by country'!$A$8:$F$164,6)</f>
        <v>2.9331786845381409E-2</v>
      </c>
    </row>
    <row r="100" spans="1:6" ht="15">
      <c r="A100" s="11" t="str">
        <f>'[1]ERPs by country'!A106</f>
        <v>Morocco</v>
      </c>
      <c r="B100" s="9">
        <f>VLOOKUP(A100,'[1]ERPs by country'!$A$8:$F$164,5)</f>
        <v>7.6710003198215193E-2</v>
      </c>
      <c r="C100" s="9">
        <f>VLOOKUP(A100,'[1]ERPs by country'!$A$8:$F$164,4)</f>
        <v>2.4794104884701216E-2</v>
      </c>
      <c r="D100" s="9">
        <f t="shared" si="1"/>
        <v>7.6710003198215193E-2</v>
      </c>
      <c r="E100" s="9">
        <f>VLOOKUP(A100,'[1]Country Tax Rates'!$A$2:$B$159,2)</f>
        <v>0.32</v>
      </c>
      <c r="F100" s="10">
        <f>VLOOKUP(A100,'[1]ERPs by country'!$A$8:$F$164,6)</f>
        <v>3.3410003198215195E-2</v>
      </c>
    </row>
    <row r="101" spans="1:6" ht="15">
      <c r="A101" s="11" t="str">
        <f>'[1]ERPs by country'!A107</f>
        <v>Mozambique</v>
      </c>
      <c r="B101" s="9">
        <f>VLOOKUP(A101,'[1]ERPs by country'!$A$8:$F$164,5)</f>
        <v>0.16345052793348747</v>
      </c>
      <c r="C101" s="9">
        <f>VLOOKUP(A101,'[1]ERPs by country'!$A$8:$F$164,4)</f>
        <v>8.9165654186296364E-2</v>
      </c>
      <c r="D101" s="9">
        <f t="shared" si="1"/>
        <v>0.16345052793348747</v>
      </c>
      <c r="E101" s="9">
        <f>VLOOKUP(A101,'[1]Country Tax Rates'!$A$2:$B$159,2)</f>
        <v>0.32</v>
      </c>
      <c r="F101" s="10">
        <f>VLOOKUP(A101,'[1]ERPs by country'!$A$8:$F$164,6)</f>
        <v>0.12015052793348746</v>
      </c>
    </row>
    <row r="102" spans="1:6" ht="15">
      <c r="A102" s="11" t="str">
        <f>'[1]ERPs by country'!A108</f>
        <v>Namibia</v>
      </c>
      <c r="B102" s="9">
        <f>VLOOKUP(A102,'[1]ERPs by country'!$A$8:$F$164,5)</f>
        <v>0.10337526396674374</v>
      </c>
      <c r="C102" s="9">
        <f>VLOOKUP(A102,'[1]ERPs by country'!$A$8:$F$164,4)</f>
        <v>4.4582827093148182E-2</v>
      </c>
      <c r="D102" s="9">
        <f t="shared" si="1"/>
        <v>0.10337526396674374</v>
      </c>
      <c r="E102" s="9">
        <f>VLOOKUP(A102,'[1]Country Tax Rates'!$A$2:$B$159,2)</f>
        <v>0.32</v>
      </c>
      <c r="F102" s="10">
        <f>VLOOKUP(A102,'[1]ERPs by country'!$A$8:$F$164,6)</f>
        <v>6.007526396674373E-2</v>
      </c>
    </row>
    <row r="103" spans="1:6" ht="15">
      <c r="A103" s="11" t="s">
        <v>6</v>
      </c>
      <c r="B103" s="9">
        <f>VLOOKUP(A103,'[1]ERPs by country'!$A$8:$F$164,5)</f>
        <v>9.1297469383351385E-2</v>
      </c>
      <c r="C103" s="9">
        <f>VLOOKUP(A103,'[1]ERPs by country'!$A$8:$F$164,4)</f>
        <v>3.5619699975204554E-2</v>
      </c>
      <c r="D103" s="9">
        <f t="shared" si="1"/>
        <v>9.1297469383351385E-2</v>
      </c>
      <c r="E103" s="9">
        <f>VLOOKUP(A103,'[1]Country Tax Rates'!$A$2:$B$159,2)</f>
        <v>0.25</v>
      </c>
      <c r="F103" s="10">
        <f>VLOOKUP(A103,'[1]ERPs by country'!$A$8:$F$164,6)</f>
        <v>4.7997469383351386E-2</v>
      </c>
    </row>
    <row r="104" spans="1:6" ht="15">
      <c r="A104" s="11" t="str">
        <f>'[1]ERPs by country'!A110</f>
        <v>Netherlands</v>
      </c>
      <c r="B104" s="9">
        <f>VLOOKUP(A104,'[1]ERPs by country'!$A$8:$F$164,5)</f>
        <v>4.3299999999999998E-2</v>
      </c>
      <c r="C104" s="9">
        <f>VLOOKUP(A104,'[1]ERPs by country'!$A$8:$F$164,4)</f>
        <v>0</v>
      </c>
      <c r="D104" s="9">
        <f t="shared" si="1"/>
        <v>4.3299999999999998E-2</v>
      </c>
      <c r="E104" s="9">
        <f>VLOOKUP(A104,'[1]Country Tax Rates'!$A$2:$B$159,2)</f>
        <v>0.25800000000000001</v>
      </c>
      <c r="F104" s="10">
        <f>VLOOKUP(A104,'[1]ERPs by country'!$A$8:$F$164,6)</f>
        <v>0</v>
      </c>
    </row>
    <row r="105" spans="1:6" ht="15">
      <c r="A105" s="11" t="str">
        <f>'[1]ERPs by country'!A111</f>
        <v>New Zealand</v>
      </c>
      <c r="B105" s="9">
        <f>VLOOKUP(A105,'[1]ERPs by country'!$A$8:$F$164,5)</f>
        <v>4.3299999999999998E-2</v>
      </c>
      <c r="C105" s="9">
        <f>VLOOKUP(A105,'[1]ERPs by country'!$A$8:$F$164,4)</f>
        <v>0</v>
      </c>
      <c r="D105" s="9">
        <f t="shared" si="1"/>
        <v>4.3299999999999998E-2</v>
      </c>
      <c r="E105" s="9">
        <f>VLOOKUP(A105,'[1]Country Tax Rates'!$A$2:$B$159,2)</f>
        <v>0.28000000000000003</v>
      </c>
      <c r="F105" s="10">
        <f>VLOOKUP(A105,'[1]ERPs by country'!$A$8:$F$164,6)</f>
        <v>0</v>
      </c>
    </row>
    <row r="106" spans="1:6" ht="15">
      <c r="A106" s="11" t="str">
        <f>'[1]ERPs by country'!A112</f>
        <v>Nicaragua</v>
      </c>
      <c r="B106" s="9">
        <f>VLOOKUP(A106,'[1]ERPs by country'!$A$8:$F$164,5)</f>
        <v>0.11670789435100801</v>
      </c>
      <c r="C106" s="9">
        <f>VLOOKUP(A106,'[1]ERPs by country'!$A$8:$F$164,4)</f>
        <v>5.4477188197371677E-2</v>
      </c>
      <c r="D106" s="9">
        <f t="shared" si="1"/>
        <v>0.11670789435100801</v>
      </c>
      <c r="E106" s="9">
        <f>VLOOKUP(A106,'[1]Country Tax Rates'!$A$2:$B$159,2)</f>
        <v>0.3</v>
      </c>
      <c r="F106" s="10">
        <f>VLOOKUP(A106,'[1]ERPs by country'!$A$8:$F$164,6)</f>
        <v>7.3407894351008016E-2</v>
      </c>
    </row>
    <row r="107" spans="1:6" ht="15">
      <c r="A107" s="11" t="str">
        <f>'[1]ERPs by country'!A113</f>
        <v>Niger</v>
      </c>
      <c r="B107" s="9">
        <f>VLOOKUP(A107,'[1]ERPs by country'!$A$8:$F$164,5)</f>
        <v>0.17678315831775177</v>
      </c>
      <c r="C107" s="9">
        <f>VLOOKUP(A107,'[1]ERPs by country'!$A$8:$F$164,4)</f>
        <v>9.9060015290519873E-2</v>
      </c>
      <c r="D107" s="9">
        <f t="shared" si="1"/>
        <v>0.17678315831775177</v>
      </c>
      <c r="E107" s="9">
        <f>VLOOKUP(A107,'[1]Country Tax Rates'!$A$2:$B$159,2)</f>
        <v>0.26860000000000001</v>
      </c>
      <c r="F107" s="10">
        <f>VLOOKUP(A107,'[1]ERPs by country'!$A$8:$F$164,6)</f>
        <v>0.13348315831775176</v>
      </c>
    </row>
    <row r="108" spans="1:6" ht="15">
      <c r="A108" s="11" t="str">
        <f>'[1]ERPs by country'!A114</f>
        <v>Nigeria</v>
      </c>
      <c r="B108" s="9">
        <f>VLOOKUP(A108,'[1]ERPs by country'!$A$8:$F$164,5)</f>
        <v>0.14337315511953655</v>
      </c>
      <c r="C108" s="9">
        <f>VLOOKUP(A108,'[1]ERPs by country'!$A$8:$F$164,4)</f>
        <v>7.4265910405818647E-2</v>
      </c>
      <c r="D108" s="9">
        <f t="shared" si="1"/>
        <v>0.14337315511953655</v>
      </c>
      <c r="E108" s="9">
        <f>VLOOKUP(A108,'[1]Country Tax Rates'!$A$2:$B$159,2)</f>
        <v>0.3</v>
      </c>
      <c r="F108" s="10">
        <f>VLOOKUP(A108,'[1]ERPs by country'!$A$8:$F$164,6)</f>
        <v>0.10007315511953656</v>
      </c>
    </row>
    <row r="109" spans="1:6" ht="15">
      <c r="A109" s="11" t="str">
        <f>'[1]ERPs by country'!A115</f>
        <v>Norway</v>
      </c>
      <c r="B109" s="9">
        <f>VLOOKUP(A109,'[1]ERPs by country'!$A$8:$F$164,5)</f>
        <v>4.3299999999999998E-2</v>
      </c>
      <c r="C109" s="9">
        <f>VLOOKUP(A109,'[1]ERPs by country'!$A$8:$F$164,4)</f>
        <v>0</v>
      </c>
      <c r="D109" s="9">
        <f t="shared" si="1"/>
        <v>4.3299999999999998E-2</v>
      </c>
      <c r="E109" s="9">
        <f>VLOOKUP(A109,'[1]Country Tax Rates'!$A$2:$B$159,2)</f>
        <v>0.22</v>
      </c>
      <c r="F109" s="10">
        <f>VLOOKUP(A109,'[1]ERPs by country'!$A$8:$F$164,6)</f>
        <v>0</v>
      </c>
    </row>
    <row r="110" spans="1:6" ht="15">
      <c r="A110" s="11" t="str">
        <f>'[1]ERPs by country'!A116</f>
        <v>Oman</v>
      </c>
      <c r="B110" s="9">
        <f>VLOOKUP(A110,'[1]ERPs by country'!$A$8:$F$164,5)</f>
        <v>7.6710003198215193E-2</v>
      </c>
      <c r="C110" s="9">
        <f>VLOOKUP(A110,'[1]ERPs by country'!$A$8:$F$164,4)</f>
        <v>2.4794104884701216E-2</v>
      </c>
      <c r="D110" s="9">
        <f t="shared" si="1"/>
        <v>7.6710003198215193E-2</v>
      </c>
      <c r="E110" s="9">
        <f>VLOOKUP(A110,'[1]Country Tax Rates'!$A$2:$B$159,2)</f>
        <v>0.15</v>
      </c>
      <c r="F110" s="10">
        <f>VLOOKUP(A110,'[1]ERPs by country'!$A$8:$F$164,6)</f>
        <v>3.3410003198215195E-2</v>
      </c>
    </row>
    <row r="111" spans="1:6" ht="15">
      <c r="A111" s="11" t="str">
        <f>'[1]ERPs by country'!A117</f>
        <v>Pakistan</v>
      </c>
      <c r="B111" s="9">
        <f>VLOOKUP(A111,'[1]ERPs by country'!$A$8:$F$164,5)</f>
        <v>0.16345052793348747</v>
      </c>
      <c r="C111" s="9">
        <f>VLOOKUP(A111,'[1]ERPs by country'!$A$8:$F$164,4)</f>
        <v>8.9165654186296364E-2</v>
      </c>
      <c r="D111" s="9">
        <f t="shared" si="1"/>
        <v>0.16345052793348747</v>
      </c>
      <c r="E111" s="9">
        <f>VLOOKUP(A111,'[1]Country Tax Rates'!$A$2:$B$159,2)</f>
        <v>0.28999999999999998</v>
      </c>
      <c r="F111" s="10">
        <f>VLOOKUP(A111,'[1]ERPs by country'!$A$8:$F$164,6)</f>
        <v>0.12015052793348746</v>
      </c>
    </row>
    <row r="112" spans="1:6" ht="15">
      <c r="A112" s="11" t="str">
        <f>'[1]ERPs by country'!A118</f>
        <v>Panama</v>
      </c>
      <c r="B112" s="9">
        <f>VLOOKUP(A112,'[1]ERPs by country'!$A$8:$F$164,5)</f>
        <v>7.2631786845381408E-2</v>
      </c>
      <c r="C112" s="9">
        <f>VLOOKUP(A112,'[1]ERPs by country'!$A$8:$F$164,4)</f>
        <v>2.1767594429291676E-2</v>
      </c>
      <c r="D112" s="9">
        <f t="shared" si="1"/>
        <v>7.2631786845381408E-2</v>
      </c>
      <c r="E112" s="9">
        <f>VLOOKUP(A112,'[1]Country Tax Rates'!$A$2:$B$159,2)</f>
        <v>0.25</v>
      </c>
      <c r="F112" s="10">
        <f>VLOOKUP(A112,'[1]ERPs by country'!$A$8:$F$164,6)</f>
        <v>2.9331786845381409E-2</v>
      </c>
    </row>
    <row r="113" spans="1:6" ht="15">
      <c r="A113" s="11" t="str">
        <f>'[1]ERPs by country'!A119</f>
        <v>Papua New Guinea</v>
      </c>
      <c r="B113" s="9">
        <f>VLOOKUP(A113,'[1]ERPs by country'!$A$8:$F$164,5)</f>
        <v>0.11670789435100801</v>
      </c>
      <c r="C113" s="9">
        <f>VLOOKUP(A113,'[1]ERPs by country'!$A$8:$F$164,4)</f>
        <v>5.4477188197371677E-2</v>
      </c>
      <c r="D113" s="9">
        <f t="shared" si="1"/>
        <v>0.11670789435100801</v>
      </c>
      <c r="E113" s="9">
        <f>VLOOKUP(A113,'[1]Country Tax Rates'!$A$2:$B$159,2)</f>
        <v>0.3</v>
      </c>
      <c r="F113" s="10">
        <f>VLOOKUP(A113,'[1]ERPs by country'!$A$8:$F$164,6)</f>
        <v>7.3407894351008016E-2</v>
      </c>
    </row>
    <row r="114" spans="1:6" ht="15">
      <c r="A114" s="11" t="str">
        <f>'[1]ERPs by country'!A120</f>
        <v>Paraguay</v>
      </c>
      <c r="B114" s="9">
        <f>VLOOKUP(A114,'[1]ERPs by country'!$A$8:$F$164,5)</f>
        <v>7.2631786845381408E-2</v>
      </c>
      <c r="C114" s="9">
        <f>VLOOKUP(A114,'[1]ERPs by country'!$A$8:$F$164,4)</f>
        <v>2.1767594429291676E-2</v>
      </c>
      <c r="D114" s="9">
        <f t="shared" si="1"/>
        <v>7.2631786845381408E-2</v>
      </c>
      <c r="E114" s="9">
        <f>VLOOKUP(A114,'[1]Country Tax Rates'!$A$2:$B$159,2)</f>
        <v>0.1</v>
      </c>
      <c r="F114" s="10">
        <f>VLOOKUP(A114,'[1]ERPs by country'!$A$8:$F$164,6)</f>
        <v>2.9331786845381409E-2</v>
      </c>
    </row>
    <row r="115" spans="1:6" ht="15">
      <c r="A115" s="11" t="str">
        <f>'[1]ERPs by country'!A121</f>
        <v>Peru</v>
      </c>
      <c r="B115" s="9">
        <f>VLOOKUP(A115,'[1]ERPs by country'!$A$8:$F$164,5)</f>
        <v>6.4632208614822828E-2</v>
      </c>
      <c r="C115" s="9">
        <f>VLOOKUP(A115,'[1]ERPs by country'!$A$8:$F$164,4)</f>
        <v>1.5830977766757577E-2</v>
      </c>
      <c r="D115" s="9">
        <f t="shared" si="1"/>
        <v>6.4632208614822828E-2</v>
      </c>
      <c r="E115" s="9">
        <f>VLOOKUP(A115,'[1]Country Tax Rates'!$A$2:$B$159,2)</f>
        <v>0.29499999999999998</v>
      </c>
      <c r="F115" s="10">
        <f>VLOOKUP(A115,'[1]ERPs by country'!$A$8:$F$164,6)</f>
        <v>2.1332208614822837E-2</v>
      </c>
    </row>
    <row r="116" spans="1:6" ht="15">
      <c r="A116" s="11" t="str">
        <f>'[1]ERPs by country'!A122</f>
        <v>Philippines</v>
      </c>
      <c r="B116" s="9">
        <f>VLOOKUP(A116,'[1]ERPs by country'!$A$8:$F$164,5)</f>
        <v>6.8710424967656614E-2</v>
      </c>
      <c r="C116" s="9">
        <f>VLOOKUP(A116,'[1]ERPs by country'!$A$8:$F$164,4)</f>
        <v>1.885748822216712E-2</v>
      </c>
      <c r="D116" s="9">
        <f t="shared" si="1"/>
        <v>6.8710424967656614E-2</v>
      </c>
      <c r="E116" s="9">
        <f>VLOOKUP(A116,'[1]Country Tax Rates'!$A$2:$B$159,2)</f>
        <v>0.25</v>
      </c>
      <c r="F116" s="10">
        <f>VLOOKUP(A116,'[1]ERPs by country'!$A$8:$F$164,6)</f>
        <v>2.5410424967656622E-2</v>
      </c>
    </row>
    <row r="117" spans="1:6" ht="15">
      <c r="A117" s="11" t="str">
        <f>'[1]ERPs by country'!A123</f>
        <v>Poland</v>
      </c>
      <c r="B117" s="9">
        <f>VLOOKUP(A117,'[1]ERPs by country'!$A$8:$F$164,5)</f>
        <v>5.4593522207847384E-2</v>
      </c>
      <c r="C117" s="9">
        <f>VLOOKUP(A117,'[1]ERPs by country'!$A$8:$F$164,4)</f>
        <v>8.3811058765187203E-3</v>
      </c>
      <c r="D117" s="9">
        <f t="shared" si="1"/>
        <v>5.4593522207847384E-2</v>
      </c>
      <c r="E117" s="9">
        <f>VLOOKUP(A117,'[1]Country Tax Rates'!$A$2:$B$159,2)</f>
        <v>0.19</v>
      </c>
      <c r="F117" s="10">
        <f>VLOOKUP(A117,'[1]ERPs by country'!$A$8:$F$164,6)</f>
        <v>1.1293522207847389E-2</v>
      </c>
    </row>
    <row r="118" spans="1:6" ht="15">
      <c r="A118" s="11" t="str">
        <f>'[1]ERPs by country'!A124</f>
        <v>Portugal</v>
      </c>
      <c r="B118" s="9">
        <f>VLOOKUP(A118,'[1]ERPs by country'!$A$8:$F$164,5)</f>
        <v>5.9299156461117129E-2</v>
      </c>
      <c r="C118" s="9">
        <f>VLOOKUP(A118,'[1]ERPs by country'!$A$8:$F$164,4)</f>
        <v>1.1873233325068186E-2</v>
      </c>
      <c r="D118" s="9">
        <f t="shared" si="1"/>
        <v>5.9299156461117129E-2</v>
      </c>
      <c r="E118" s="9">
        <f>VLOOKUP(A118,'[1]Country Tax Rates'!$A$2:$B$159,2)</f>
        <v>0.21</v>
      </c>
      <c r="F118" s="10">
        <f>VLOOKUP(A118,'[1]ERPs by country'!$A$8:$F$164,6)</f>
        <v>1.5999156461117131E-2</v>
      </c>
    </row>
    <row r="119" spans="1:6" ht="15">
      <c r="A119" s="11" t="str">
        <f>'[1]ERPs by country'!A125</f>
        <v>Qatar</v>
      </c>
      <c r="B119" s="9">
        <f>VLOOKUP(A119,'[1]ERPs by country'!$A$8:$F$164,5)</f>
        <v>4.9887887954577638E-2</v>
      </c>
      <c r="C119" s="9">
        <f>VLOOKUP(A119,'[1]ERPs by country'!$A$8:$F$164,4)</f>
        <v>4.8889784279692525E-3</v>
      </c>
      <c r="D119" s="9">
        <f t="shared" si="1"/>
        <v>4.9887887954577638E-2</v>
      </c>
      <c r="E119" s="9">
        <f>VLOOKUP(A119,'[1]Country Tax Rates'!$A$2:$B$159,2)</f>
        <v>0.1</v>
      </c>
      <c r="F119" s="10">
        <f>VLOOKUP(A119,'[1]ERPs by country'!$A$8:$F$164,6)</f>
        <v>6.5878879545776415E-3</v>
      </c>
    </row>
    <row r="120" spans="1:6" ht="15">
      <c r="A120" s="11" t="str">
        <f>'[1]ERPs by country'!A126</f>
        <v>Ras Al Khaimah (Emirate of)</v>
      </c>
      <c r="B120" s="9">
        <f>VLOOKUP(A120,'[1]ERPs by country'!$A$8:$F$164,5)</f>
        <v>5.9299156461117129E-2</v>
      </c>
      <c r="C120" s="9">
        <f>VLOOKUP(A120,'[1]ERPs by country'!$A$8:$F$164,4)</f>
        <v>1.1873233325068186E-2</v>
      </c>
      <c r="D120" s="9">
        <f t="shared" si="1"/>
        <v>5.9299156461117129E-2</v>
      </c>
      <c r="E120" s="9">
        <f>VLOOKUP(A120,'[1]Country Tax Rates'!$A$2:$B$159,2)</f>
        <v>0</v>
      </c>
      <c r="F120" s="10">
        <f>VLOOKUP(A120,'[1]ERPs by country'!$A$8:$F$164,6)</f>
        <v>1.5999156461117131E-2</v>
      </c>
    </row>
    <row r="121" spans="1:6" ht="15">
      <c r="A121" s="11" t="str">
        <f>'[1]ERPs by country'!A127</f>
        <v>Romania</v>
      </c>
      <c r="B121" s="9">
        <f>VLOOKUP(A121,'[1]ERPs by country'!$A$8:$F$164,5)</f>
        <v>7.2631786845381408E-2</v>
      </c>
      <c r="C121" s="9">
        <f>VLOOKUP(A121,'[1]ERPs by country'!$A$8:$F$164,4)</f>
        <v>2.1767594429291676E-2</v>
      </c>
      <c r="D121" s="9">
        <f t="shared" si="1"/>
        <v>7.2631786845381408E-2</v>
      </c>
      <c r="E121" s="9">
        <f>VLOOKUP(A121,'[1]Country Tax Rates'!$A$2:$B$159,2)</f>
        <v>0.16</v>
      </c>
      <c r="F121" s="10">
        <f>VLOOKUP(A121,'[1]ERPs by country'!$A$8:$F$164,6)</f>
        <v>2.9331786845381409E-2</v>
      </c>
    </row>
    <row r="122" spans="1:6" ht="15">
      <c r="A122" s="11" t="str">
        <f>'[1]ERPs by country'!A128</f>
        <v>Rwanda</v>
      </c>
      <c r="B122" s="9">
        <f>VLOOKUP(A122,'[1]ERPs by country'!$A$8:$F$164,5)</f>
        <v>0.11670789435100801</v>
      </c>
      <c r="C122" s="9">
        <f>VLOOKUP(A122,'[1]ERPs by country'!$A$8:$F$164,4)</f>
        <v>5.4477188197371677E-2</v>
      </c>
      <c r="D122" s="9">
        <f t="shared" si="1"/>
        <v>0.11670789435100801</v>
      </c>
      <c r="E122" s="9">
        <f>VLOOKUP(A122,'[1]Country Tax Rates'!$A$2:$B$159,2)</f>
        <v>0.3</v>
      </c>
      <c r="F122" s="10">
        <f>VLOOKUP(A122,'[1]ERPs by country'!$A$8:$F$164,6)</f>
        <v>7.3407894351008016E-2</v>
      </c>
    </row>
    <row r="123" spans="1:6" ht="15">
      <c r="A123" s="11" t="str">
        <f>'[1]ERPs by country'!A129</f>
        <v>Saudi Arabia</v>
      </c>
      <c r="B123" s="9">
        <f>VLOOKUP(A123,'[1]ERPs by country'!$A$8:$F$164,5)</f>
        <v>5.1299578230558564E-2</v>
      </c>
      <c r="C123" s="9">
        <f>VLOOKUP(A123,'[1]ERPs by country'!$A$8:$F$164,4)</f>
        <v>5.9366166625340932E-3</v>
      </c>
      <c r="D123" s="9">
        <f t="shared" si="1"/>
        <v>5.1299578230558564E-2</v>
      </c>
      <c r="E123" s="9">
        <f>VLOOKUP(A123,'[1]Country Tax Rates'!$A$2:$B$159,2)</f>
        <v>0.2</v>
      </c>
      <c r="F123" s="10">
        <f>VLOOKUP(A123,'[1]ERPs by country'!$A$8:$F$164,6)</f>
        <v>7.9995782305585655E-3</v>
      </c>
    </row>
    <row r="124" spans="1:6" ht="15">
      <c r="A124" s="11" t="str">
        <f>'[1]ERPs by country'!A130</f>
        <v>Senegal</v>
      </c>
      <c r="B124" s="9">
        <f>VLOOKUP(A124,'[1]ERPs by country'!$A$8:$F$164,5)</f>
        <v>0.10337526396674374</v>
      </c>
      <c r="C124" s="9">
        <f>VLOOKUP(A124,'[1]ERPs by country'!$A$8:$F$164,4)</f>
        <v>4.4582827093148182E-2</v>
      </c>
      <c r="D124" s="9">
        <f t="shared" si="1"/>
        <v>0.10337526396674374</v>
      </c>
      <c r="E124" s="9">
        <f>VLOOKUP(A124,'[1]Country Tax Rates'!$A$2:$B$159,2)</f>
        <v>0.3</v>
      </c>
      <c r="F124" s="10">
        <f>VLOOKUP(A124,'[1]ERPs by country'!$A$8:$F$164,6)</f>
        <v>6.007526396674373E-2</v>
      </c>
    </row>
    <row r="125" spans="1:6" ht="15">
      <c r="A125" s="11" t="str">
        <f>'[1]ERPs by country'!A131</f>
        <v>Serbia</v>
      </c>
      <c r="B125" s="9">
        <f>VLOOKUP(A125,'[1]ERPs by country'!$A$8:$F$164,5)</f>
        <v>8.3454745627901811E-2</v>
      </c>
      <c r="C125" s="9">
        <f>VLOOKUP(A125,'[1]ERPs by country'!$A$8:$F$164,4)</f>
        <v>2.9799487560955448E-2</v>
      </c>
      <c r="D125" s="9">
        <f t="shared" si="1"/>
        <v>8.3454745627901811E-2</v>
      </c>
      <c r="E125" s="9">
        <f>VLOOKUP(A125,'[1]Country Tax Rates'!$A$2:$B$159,2)</f>
        <v>0.15</v>
      </c>
      <c r="F125" s="10">
        <f>VLOOKUP(A125,'[1]ERPs by country'!$A$8:$F$164,6)</f>
        <v>4.0154745627901819E-2</v>
      </c>
    </row>
    <row r="126" spans="1:6" ht="15">
      <c r="A126" s="11" t="str">
        <f>'[1]ERPs by country'!A132</f>
        <v>Sharjah</v>
      </c>
      <c r="B126" s="9">
        <f>VLOOKUP(A126,'[1]ERPs by country'!$A$8:$F$164,5)</f>
        <v>7.6710003198215193E-2</v>
      </c>
      <c r="C126" s="9">
        <f>VLOOKUP(A126,'[1]ERPs by country'!$A$8:$F$164,4)</f>
        <v>2.4794104884701216E-2</v>
      </c>
      <c r="D126" s="9">
        <f t="shared" si="1"/>
        <v>7.6710003198215193E-2</v>
      </c>
      <c r="E126" s="9">
        <f>VLOOKUP(A126,'[1]Country Tax Rates'!$A$2:$B$159,2)</f>
        <v>0</v>
      </c>
      <c r="F126" s="10">
        <f>VLOOKUP(A126,'[1]ERPs by country'!$A$8:$F$164,6)</f>
        <v>3.3410003198215195E-2</v>
      </c>
    </row>
    <row r="127" spans="1:6" ht="15">
      <c r="A127" s="11" t="str">
        <f>'[1]ERPs by country'!A133</f>
        <v>Singapore</v>
      </c>
      <c r="B127" s="9">
        <f>VLOOKUP(A127,'[1]ERPs by country'!$A$8:$F$164,5)</f>
        <v>4.3299999999999998E-2</v>
      </c>
      <c r="C127" s="9">
        <f>VLOOKUP(A127,'[1]ERPs by country'!$A$8:$F$164,4)</f>
        <v>0</v>
      </c>
      <c r="D127" s="9">
        <f t="shared" si="1"/>
        <v>4.3299999999999998E-2</v>
      </c>
      <c r="E127" s="9">
        <f>VLOOKUP(A127,'[1]Country Tax Rates'!$A$2:$B$159,2)</f>
        <v>0.17</v>
      </c>
      <c r="F127" s="10">
        <f>VLOOKUP(A127,'[1]ERPs by country'!$A$8:$F$164,6)</f>
        <v>0</v>
      </c>
    </row>
    <row r="128" spans="1:6" ht="15">
      <c r="A128" s="11" t="str">
        <f>'[1]ERPs by country'!A134</f>
        <v>Slovakia</v>
      </c>
      <c r="B128" s="9">
        <f>VLOOKUP(A128,'[1]ERPs by country'!$A$8:$F$164,5)</f>
        <v>5.9299156461117129E-2</v>
      </c>
      <c r="C128" s="9">
        <f>VLOOKUP(A128,'[1]ERPs by country'!$A$8:$F$164,4)</f>
        <v>1.1873233325068186E-2</v>
      </c>
      <c r="D128" s="9">
        <f t="shared" si="1"/>
        <v>5.9299156461117129E-2</v>
      </c>
      <c r="E128" s="9">
        <f>VLOOKUP(A128,'[1]Country Tax Rates'!$A$2:$B$159,2)</f>
        <v>0.21</v>
      </c>
      <c r="F128" s="10">
        <f>VLOOKUP(A128,'[1]ERPs by country'!$A$8:$F$164,6)</f>
        <v>1.5999156461117131E-2</v>
      </c>
    </row>
    <row r="129" spans="1:6" ht="15">
      <c r="A129" s="11" t="str">
        <f>'[1]ERPs by country'!A135</f>
        <v>Slovenia</v>
      </c>
      <c r="B129" s="9">
        <f>VLOOKUP(A129,'[1]ERPs by country'!$A$8:$F$164,5)</f>
        <v>5.9299156461117129E-2</v>
      </c>
      <c r="C129" s="9">
        <f>VLOOKUP(A129,'[1]ERPs by country'!$A$8:$F$164,4)</f>
        <v>1.1873233325068186E-2</v>
      </c>
      <c r="D129" s="9">
        <f t="shared" si="1"/>
        <v>5.9299156461117129E-2</v>
      </c>
      <c r="E129" s="9">
        <f>VLOOKUP(A129,'[1]Country Tax Rates'!$A$2:$B$159,2)</f>
        <v>0.19</v>
      </c>
      <c r="F129" s="10">
        <f>VLOOKUP(A129,'[1]ERPs by country'!$A$8:$F$164,6)</f>
        <v>1.5999156461117131E-2</v>
      </c>
    </row>
    <row r="130" spans="1:6" ht="15">
      <c r="A130" s="11" t="str">
        <f>'[1]ERPs by country'!A136</f>
        <v>Solomon Islands</v>
      </c>
      <c r="B130" s="9">
        <f>VLOOKUP(A130,'[1]ERPs by country'!$A$8:$F$164,5)</f>
        <v>0.14337315511953655</v>
      </c>
      <c r="C130" s="9">
        <f>VLOOKUP(A130,'[1]ERPs by country'!$A$8:$F$164,4)</f>
        <v>7.4265910405818647E-2</v>
      </c>
      <c r="D130" s="9">
        <f t="shared" si="1"/>
        <v>0.14337315511953655</v>
      </c>
      <c r="E130" s="9">
        <f>VLOOKUP(A130,'[1]Country Tax Rates'!$A$2:$B$159,2)</f>
        <v>0.3</v>
      </c>
      <c r="F130" s="10">
        <f>VLOOKUP(A130,'[1]ERPs by country'!$A$8:$F$164,6)</f>
        <v>0.10007315511953656</v>
      </c>
    </row>
    <row r="131" spans="1:6" ht="15">
      <c r="A131" s="11" t="str">
        <f>'[1]ERPs by country'!A137</f>
        <v>South Africa</v>
      </c>
      <c r="B131" s="9">
        <f>VLOOKUP(A131,'[1]ERPs by country'!$A$8:$F$164,5)</f>
        <v>8.3454745627901811E-2</v>
      </c>
      <c r="C131" s="9">
        <f>VLOOKUP(A131,'[1]ERPs by country'!$A$8:$F$164,4)</f>
        <v>2.9799487560955448E-2</v>
      </c>
      <c r="D131" s="9">
        <f t="shared" ref="D131:D158" si="2">B131</f>
        <v>8.3454745627901811E-2</v>
      </c>
      <c r="E131" s="9">
        <f>VLOOKUP(A131,'[1]Country Tax Rates'!$A$2:$B$159,2)</f>
        <v>0.27</v>
      </c>
      <c r="F131" s="10">
        <f>VLOOKUP(A131,'[1]ERPs by country'!$A$8:$F$164,6)</f>
        <v>4.0154745627901819E-2</v>
      </c>
    </row>
    <row r="132" spans="1:6" ht="15">
      <c r="A132" s="11" t="str">
        <f>'[1]ERPs by country'!A138</f>
        <v>Spain</v>
      </c>
      <c r="B132" s="9">
        <f>VLOOKUP(A132,'[1]ERPs by country'!$A$8:$F$164,5)</f>
        <v>6.4632208614822828E-2</v>
      </c>
      <c r="C132" s="9">
        <f>VLOOKUP(A132,'[1]ERPs by country'!$A$8:$F$164,4)</f>
        <v>1.5830977766757577E-2</v>
      </c>
      <c r="D132" s="9">
        <f t="shared" si="2"/>
        <v>6.4632208614822828E-2</v>
      </c>
      <c r="E132" s="9">
        <f>VLOOKUP(A132,'[1]Country Tax Rates'!$A$2:$B$159,2)</f>
        <v>0.25</v>
      </c>
      <c r="F132" s="10">
        <f>VLOOKUP(A132,'[1]ERPs by country'!$A$8:$F$164,6)</f>
        <v>2.1332208614822837E-2</v>
      </c>
    </row>
    <row r="133" spans="1:6" ht="15">
      <c r="A133" s="11" t="str">
        <f>'[1]ERPs by country'!A139</f>
        <v>Sri Lanka</v>
      </c>
      <c r="B133" s="9">
        <f>VLOOKUP(A133,'[1]ERPs by country'!$A$8:$F$164,5)</f>
        <v>0.20344841908628034</v>
      </c>
      <c r="C133" s="9">
        <f>VLOOKUP(A133,'[1]ERPs by country'!$A$8:$F$164,4)</f>
        <v>0.11884873749896685</v>
      </c>
      <c r="D133" s="9">
        <f t="shared" si="2"/>
        <v>0.20344841908628034</v>
      </c>
      <c r="E133" s="9">
        <f>VLOOKUP(A133,'[1]Country Tax Rates'!$A$2:$B$159,2)</f>
        <v>0.24</v>
      </c>
      <c r="F133" s="10">
        <f>VLOOKUP(A133,'[1]ERPs by country'!$A$8:$F$164,6)</f>
        <v>0.16014841908628033</v>
      </c>
    </row>
    <row r="134" spans="1:6" ht="15">
      <c r="A134" s="11" t="str">
        <f>'[1]ERPs by country'!A140</f>
        <v>St. Maarten</v>
      </c>
      <c r="B134" s="9">
        <f>VLOOKUP(A134,'[1]ERPs by country'!$A$8:$F$164,5)</f>
        <v>8.3454745627901811E-2</v>
      </c>
      <c r="C134" s="9">
        <f>VLOOKUP(A134,'[1]ERPs by country'!$A$8:$F$164,4)</f>
        <v>2.9799487560955448E-2</v>
      </c>
      <c r="D134" s="9">
        <f t="shared" si="2"/>
        <v>8.3454745627901811E-2</v>
      </c>
      <c r="E134" s="9">
        <f>VLOOKUP(A134,'[1]Country Tax Rates'!$A$2:$B$159,2)</f>
        <v>0.2853</v>
      </c>
      <c r="F134" s="10">
        <f>VLOOKUP(A134,'[1]ERPs by country'!$A$8:$F$164,6)</f>
        <v>4.0154745627901819E-2</v>
      </c>
    </row>
    <row r="135" spans="1:6" ht="15">
      <c r="A135" s="11" t="str">
        <f>'[1]ERPs by country'!A141</f>
        <v>St. Vincent &amp; the Grenadines</v>
      </c>
      <c r="B135" s="9">
        <f>VLOOKUP(A135,'[1]ERPs by country'!$A$8:$F$164,5)</f>
        <v>0.13004052473527228</v>
      </c>
      <c r="C135" s="9">
        <f>VLOOKUP(A135,'[1]ERPs by country'!$A$8:$F$164,4)</f>
        <v>6.4371549301595152E-2</v>
      </c>
      <c r="D135" s="9">
        <f t="shared" si="2"/>
        <v>0.13004052473527228</v>
      </c>
      <c r="E135" s="9">
        <f>VLOOKUP(A135,'[1]Country Tax Rates'!$A$2:$B$159,2)</f>
        <v>0.2853</v>
      </c>
      <c r="F135" s="10">
        <f>VLOOKUP(A135,'[1]ERPs by country'!$A$8:$F$164,6)</f>
        <v>8.6740524735272273E-2</v>
      </c>
    </row>
    <row r="136" spans="1:6" ht="15">
      <c r="A136" s="11" t="str">
        <f>'[1]ERPs by country'!A142</f>
        <v>Suriname</v>
      </c>
      <c r="B136" s="9">
        <f>VLOOKUP(A136,'[1]ERPs by country'!$A$8:$F$164,5)</f>
        <v>0.14337315511953655</v>
      </c>
      <c r="C136" s="9">
        <f>VLOOKUP(A136,'[1]ERPs by country'!$A$8:$F$164,4)</f>
        <v>7.4265910405818647E-2</v>
      </c>
      <c r="D136" s="9">
        <f t="shared" si="2"/>
        <v>0.14337315511953655</v>
      </c>
      <c r="E136" s="9">
        <f>VLOOKUP(A136,'[1]Country Tax Rates'!$A$2:$B$159,2)</f>
        <v>0.36</v>
      </c>
      <c r="F136" s="10">
        <f>VLOOKUP(A136,'[1]ERPs by country'!$A$8:$F$164,6)</f>
        <v>0.10007315511953656</v>
      </c>
    </row>
    <row r="137" spans="1:6" ht="15">
      <c r="A137" s="11" t="str">
        <f>'[1]ERPs by country'!A143</f>
        <v>Swaziland</v>
      </c>
      <c r="B137" s="9">
        <f>VLOOKUP(A137,'[1]ERPs by country'!$A$8:$F$164,5)</f>
        <v>0.11670789435100801</v>
      </c>
      <c r="C137" s="9">
        <f>VLOOKUP(A137,'[1]ERPs by country'!$A$8:$F$164,4)</f>
        <v>5.4477188197371677E-2</v>
      </c>
      <c r="D137" s="9">
        <f t="shared" si="2"/>
        <v>0.11670789435100801</v>
      </c>
      <c r="E137" s="9">
        <f>VLOOKUP(A137,'[1]Country Tax Rates'!$A$2:$B$159,2)</f>
        <v>0.27500000000000002</v>
      </c>
      <c r="F137" s="10">
        <f>VLOOKUP(A137,'[1]ERPs by country'!$A$8:$F$164,6)</f>
        <v>7.3407894351008016E-2</v>
      </c>
    </row>
    <row r="138" spans="1:6" ht="15">
      <c r="A138" s="11" t="str">
        <f>'[1]ERPs by country'!A144</f>
        <v>Sweden</v>
      </c>
      <c r="B138" s="9">
        <f>VLOOKUP(A138,'[1]ERPs by country'!$A$8:$F$164,5)</f>
        <v>4.3299999999999998E-2</v>
      </c>
      <c r="C138" s="9">
        <f>VLOOKUP(A138,'[1]ERPs by country'!$A$8:$F$164,4)</f>
        <v>0</v>
      </c>
      <c r="D138" s="9">
        <f t="shared" si="2"/>
        <v>4.3299999999999998E-2</v>
      </c>
      <c r="E138" s="9">
        <f>VLOOKUP(A138,'[1]Country Tax Rates'!$A$2:$B$159,2)</f>
        <v>0.20600000000000002</v>
      </c>
      <c r="F138" s="10">
        <f>VLOOKUP(A138,'[1]ERPs by country'!$A$8:$F$164,6)</f>
        <v>0</v>
      </c>
    </row>
    <row r="139" spans="1:6" ht="15">
      <c r="A139" s="11" t="str">
        <f>'[1]ERPs by country'!A145</f>
        <v>Switzerland</v>
      </c>
      <c r="B139" s="9">
        <f>VLOOKUP(A139,'[1]ERPs by country'!$A$8:$F$164,5)</f>
        <v>4.3299999999999998E-2</v>
      </c>
      <c r="C139" s="9">
        <f>VLOOKUP(A139,'[1]ERPs by country'!$A$8:$F$164,4)</f>
        <v>0</v>
      </c>
      <c r="D139" s="9">
        <f t="shared" si="2"/>
        <v>4.3299999999999998E-2</v>
      </c>
      <c r="E139" s="9">
        <f>VLOOKUP(A139,'[1]Country Tax Rates'!$A$2:$B$159,2)</f>
        <v>0.14599999999999999</v>
      </c>
      <c r="F139" s="10">
        <f>VLOOKUP(A139,'[1]ERPs by country'!$A$8:$F$164,6)</f>
        <v>0</v>
      </c>
    </row>
    <row r="140" spans="1:6" ht="15">
      <c r="A140" s="11" t="str">
        <f>'[1]ERPs by country'!A146</f>
        <v>Taiwan</v>
      </c>
      <c r="B140" s="9">
        <f>VLOOKUP(A140,'[1]ERPs by country'!$A$8:$F$164,5)</f>
        <v>5.1299578230558564E-2</v>
      </c>
      <c r="C140" s="9">
        <f>VLOOKUP(A140,'[1]ERPs by country'!$A$8:$F$164,4)</f>
        <v>5.9366166625340932E-3</v>
      </c>
      <c r="D140" s="9">
        <f t="shared" si="2"/>
        <v>5.1299578230558564E-2</v>
      </c>
      <c r="E140" s="9">
        <f>VLOOKUP(A140,'[1]Country Tax Rates'!$A$2:$B$159,2)</f>
        <v>0.2</v>
      </c>
      <c r="F140" s="10">
        <f>VLOOKUP(A140,'[1]ERPs by country'!$A$8:$F$164,6)</f>
        <v>7.9995782305585655E-3</v>
      </c>
    </row>
    <row r="141" spans="1:6" ht="15">
      <c r="A141" s="11" t="str">
        <f>'[1]ERPs by country'!A147</f>
        <v>Tajikistan</v>
      </c>
      <c r="B141" s="9">
        <f>VLOOKUP(A141,'[1]ERPs by country'!$A$8:$F$164,5)</f>
        <v>0.13004052473527228</v>
      </c>
      <c r="C141" s="9">
        <f>VLOOKUP(A141,'[1]ERPs by country'!$A$8:$F$164,4)</f>
        <v>6.4371549301595152E-2</v>
      </c>
      <c r="D141" s="9">
        <f t="shared" si="2"/>
        <v>0.13004052473527228</v>
      </c>
      <c r="E141" s="9">
        <f>VLOOKUP(A141,'[1]Country Tax Rates'!$A$2:$B$159,2)</f>
        <v>0.18</v>
      </c>
      <c r="F141" s="10">
        <f>VLOOKUP(A141,'[1]ERPs by country'!$A$8:$F$164,6)</f>
        <v>8.6740524735272273E-2</v>
      </c>
    </row>
    <row r="142" spans="1:6" ht="15">
      <c r="A142" s="11" t="str">
        <f>'[1]ERPs by country'!A148</f>
        <v>Tanzania</v>
      </c>
      <c r="B142" s="9">
        <f>VLOOKUP(A142,'[1]ERPs by country'!$A$8:$F$164,5)</f>
        <v>0.10337526396674374</v>
      </c>
      <c r="C142" s="9">
        <f>VLOOKUP(A142,'[1]ERPs by country'!$A$8:$F$164,4)</f>
        <v>4.4582827093148182E-2</v>
      </c>
      <c r="D142" s="9">
        <f t="shared" si="2"/>
        <v>0.10337526396674374</v>
      </c>
      <c r="E142" s="9">
        <f>VLOOKUP(A142,'[1]Country Tax Rates'!$A$2:$B$159,2)</f>
        <v>0.3</v>
      </c>
      <c r="F142" s="10">
        <f>VLOOKUP(A142,'[1]ERPs by country'!$A$8:$F$164,6)</f>
        <v>6.007526396674373E-2</v>
      </c>
    </row>
    <row r="143" spans="1:6" ht="15">
      <c r="A143" s="11" t="str">
        <f>'[1]ERPs by country'!A149</f>
        <v>Thailand</v>
      </c>
      <c r="B143" s="9">
        <f>VLOOKUP(A143,'[1]ERPs by country'!$A$8:$F$164,5)</f>
        <v>6.4632208614822828E-2</v>
      </c>
      <c r="C143" s="9">
        <f>VLOOKUP(A143,'[1]ERPs by country'!$A$8:$F$164,4)</f>
        <v>1.5830977766757577E-2</v>
      </c>
      <c r="D143" s="9">
        <f t="shared" si="2"/>
        <v>6.4632208614822828E-2</v>
      </c>
      <c r="E143" s="9">
        <f>VLOOKUP(A143,'[1]Country Tax Rates'!$A$2:$B$159,2)</f>
        <v>0.2</v>
      </c>
      <c r="F143" s="10">
        <f>VLOOKUP(A143,'[1]ERPs by country'!$A$8:$F$164,6)</f>
        <v>2.1332208614822837E-2</v>
      </c>
    </row>
    <row r="144" spans="1:6" ht="15">
      <c r="A144" s="11" t="str">
        <f>'[1]ERPs by country'!A150</f>
        <v>Togo</v>
      </c>
      <c r="B144" s="9">
        <f>VLOOKUP(A144,'[1]ERPs by country'!$A$8:$F$164,5)</f>
        <v>0.13004052473527228</v>
      </c>
      <c r="C144" s="9">
        <f>VLOOKUP(A144,'[1]ERPs by country'!$A$8:$F$164,4)</f>
        <v>6.4371549301595152E-2</v>
      </c>
      <c r="D144" s="9">
        <f t="shared" si="2"/>
        <v>0.13004052473527228</v>
      </c>
      <c r="E144" s="9">
        <f>VLOOKUP(A144,'[1]Country Tax Rates'!$A$2:$B$159,2)</f>
        <v>0.26860000000000001</v>
      </c>
      <c r="F144" s="10">
        <f>VLOOKUP(A144,'[1]ERPs by country'!$A$8:$F$164,6)</f>
        <v>8.6740524735272273E-2</v>
      </c>
    </row>
    <row r="145" spans="1:6" ht="15">
      <c r="A145" s="11" t="str">
        <f>'[1]ERPs by country'!A151</f>
        <v>Trinidad and Tobago</v>
      </c>
      <c r="B145" s="9">
        <f>VLOOKUP(A145,'[1]ERPs by country'!$A$8:$F$164,5)</f>
        <v>8.3454745627901811E-2</v>
      </c>
      <c r="C145" s="9">
        <f>VLOOKUP(A145,'[1]ERPs by country'!$A$8:$F$164,4)</f>
        <v>2.9799487560955448E-2</v>
      </c>
      <c r="D145" s="9">
        <f t="shared" si="2"/>
        <v>8.3454745627901811E-2</v>
      </c>
      <c r="E145" s="9">
        <f>VLOOKUP(A145,'[1]Country Tax Rates'!$A$2:$B$159,2)</f>
        <v>0.3</v>
      </c>
      <c r="F145" s="10">
        <f>VLOOKUP(A145,'[1]ERPs by country'!$A$8:$F$164,6)</f>
        <v>4.0154745627901819E-2</v>
      </c>
    </row>
    <row r="146" spans="1:6" ht="15">
      <c r="A146" s="11" t="str">
        <f>'[1]ERPs by country'!A152</f>
        <v>Tunisia</v>
      </c>
      <c r="B146" s="9">
        <f>VLOOKUP(A146,'[1]ERPs by country'!$A$8:$F$164,5)</f>
        <v>0.16345052793348747</v>
      </c>
      <c r="C146" s="9">
        <f>VLOOKUP(A146,'[1]ERPs by country'!$A$8:$F$164,4)</f>
        <v>8.9165654186296364E-2</v>
      </c>
      <c r="D146" s="9">
        <f t="shared" si="2"/>
        <v>0.16345052793348747</v>
      </c>
      <c r="E146" s="9">
        <f>VLOOKUP(A146,'[1]Country Tax Rates'!$A$2:$B$159,2)</f>
        <v>0.15</v>
      </c>
      <c r="F146" s="10">
        <f>VLOOKUP(A146,'[1]ERPs by country'!$A$8:$F$164,6)</f>
        <v>0.12015052793348746</v>
      </c>
    </row>
    <row r="147" spans="1:6" ht="15">
      <c r="A147" s="11" t="str">
        <f>'[1]ERPs by country'!A153</f>
        <v>Turkey</v>
      </c>
      <c r="B147" s="9">
        <f>VLOOKUP(A147,'[1]ERPs by country'!$A$8:$F$164,5)</f>
        <v>0.10337526396674374</v>
      </c>
      <c r="C147" s="9">
        <f>VLOOKUP(A147,'[1]ERPs by country'!$A$8:$F$164,4)</f>
        <v>4.4582827093148182E-2</v>
      </c>
      <c r="D147" s="9">
        <f t="shared" si="2"/>
        <v>0.10337526396674374</v>
      </c>
      <c r="E147" s="9">
        <f>VLOOKUP(A147,'[1]Country Tax Rates'!$A$2:$B$159,2)</f>
        <v>0.25</v>
      </c>
      <c r="F147" s="10">
        <f>VLOOKUP(A147,'[1]ERPs by country'!$A$8:$F$164,6)</f>
        <v>6.007526396674373E-2</v>
      </c>
    </row>
    <row r="148" spans="1:6" ht="15">
      <c r="A148" s="11" t="str">
        <f>'[1]ERPs by country'!A154</f>
        <v>Turks and Caicos Islands</v>
      </c>
      <c r="B148" s="9">
        <f>VLOOKUP(A148,'[1]ERPs by country'!$A$8:$F$164,5)</f>
        <v>6.4632208614822828E-2</v>
      </c>
      <c r="C148" s="9">
        <f>VLOOKUP(A148,'[1]ERPs by country'!$A$8:$F$164,4)</f>
        <v>1.5830977766757577E-2</v>
      </c>
      <c r="D148" s="9">
        <f t="shared" si="2"/>
        <v>6.4632208614822828E-2</v>
      </c>
      <c r="E148" s="9">
        <f>VLOOKUP(A148,'[1]Country Tax Rates'!$A$2:$B$159,2)</f>
        <v>0</v>
      </c>
      <c r="F148" s="10">
        <f>VLOOKUP(A148,'[1]ERPs by country'!$A$8:$F$164,6)</f>
        <v>2.1332208614822837E-2</v>
      </c>
    </row>
    <row r="149" spans="1:6" ht="15">
      <c r="A149" s="11" t="str">
        <f>'[1]ERPs by country'!A155</f>
        <v>Uganda</v>
      </c>
      <c r="B149" s="9">
        <f>VLOOKUP(A149,'[1]ERPs by country'!$A$8:$F$164,5)</f>
        <v>0.13004052473527228</v>
      </c>
      <c r="C149" s="9">
        <f>VLOOKUP(A149,'[1]ERPs by country'!$A$8:$F$164,4)</f>
        <v>6.4371549301595152E-2</v>
      </c>
      <c r="D149" s="9">
        <f t="shared" si="2"/>
        <v>0.13004052473527228</v>
      </c>
      <c r="E149" s="9">
        <f>VLOOKUP(A149,'[1]Country Tax Rates'!$A$2:$B$159,2)</f>
        <v>0.3</v>
      </c>
      <c r="F149" s="10">
        <f>VLOOKUP(A149,'[1]ERPs by country'!$A$8:$F$164,6)</f>
        <v>8.6740524735272273E-2</v>
      </c>
    </row>
    <row r="150" spans="1:6" ht="15">
      <c r="A150" s="11" t="str">
        <f>'[1]ERPs by country'!A156</f>
        <v>Ukraine</v>
      </c>
      <c r="B150" s="9">
        <f>VLOOKUP(A150,'[1]ERPs by country'!$A$8:$F$164,5)</f>
        <v>0.20344841908628034</v>
      </c>
      <c r="C150" s="9">
        <f>VLOOKUP(A150,'[1]ERPs by country'!$A$8:$F$164,4)</f>
        <v>0.11884873749896685</v>
      </c>
      <c r="D150" s="9">
        <f t="shared" si="2"/>
        <v>0.20344841908628034</v>
      </c>
      <c r="E150" s="9">
        <f>VLOOKUP(A150,'[1]Country Tax Rates'!$A$2:$B$159,2)</f>
        <v>0.18</v>
      </c>
      <c r="F150" s="10">
        <f>VLOOKUP(A150,'[1]ERPs by country'!$A$8:$F$164,6)</f>
        <v>0.16014841908628033</v>
      </c>
    </row>
    <row r="151" spans="1:6" ht="15">
      <c r="A151" s="11" t="str">
        <f>'[1]ERPs by country'!A157</f>
        <v>United Arab Emirates</v>
      </c>
      <c r="B151" s="9">
        <f>VLOOKUP(A151,'[1]ERPs by country'!$A$8:$F$164,5)</f>
        <v>4.9887887954577638E-2</v>
      </c>
      <c r="C151" s="9">
        <f>VLOOKUP(A151,'[1]ERPs by country'!$A$8:$F$164,4)</f>
        <v>4.8889784279692525E-3</v>
      </c>
      <c r="D151" s="9">
        <f t="shared" si="2"/>
        <v>4.9887887954577638E-2</v>
      </c>
      <c r="E151" s="9">
        <f>VLOOKUP(A151,'[1]Country Tax Rates'!$A$2:$B$159,2)</f>
        <v>0.25</v>
      </c>
      <c r="F151" s="10">
        <f>VLOOKUP(A151,'[1]ERPs by country'!$A$8:$F$164,6)</f>
        <v>6.5878879545776415E-3</v>
      </c>
    </row>
    <row r="152" spans="1:6" ht="15">
      <c r="A152" s="11" t="str">
        <f>'[1]ERPs by country'!A158</f>
        <v>United Kingdom</v>
      </c>
      <c r="B152" s="9">
        <f>VLOOKUP(A152,'[1]ERPs by country'!$A$8:$F$164,5)</f>
        <v>5.1299578230558564E-2</v>
      </c>
      <c r="C152" s="9">
        <f>VLOOKUP(A152,'[1]ERPs by country'!$A$8:$F$164,4)</f>
        <v>5.9366166625340932E-3</v>
      </c>
      <c r="D152" s="9">
        <f t="shared" si="2"/>
        <v>5.1299578230558564E-2</v>
      </c>
      <c r="E152" s="9">
        <f>VLOOKUP(A152,'[1]Country Tax Rates'!$A$2:$B$159,2)</f>
        <v>0.25</v>
      </c>
      <c r="F152" s="10">
        <f>VLOOKUP(A152,'[1]ERPs by country'!$A$8:$F$164,6)</f>
        <v>7.9995782305585655E-3</v>
      </c>
    </row>
    <row r="153" spans="1:6" ht="15">
      <c r="A153" s="11" t="str">
        <f>'[1]ERPs by country'!A159</f>
        <v>United States</v>
      </c>
      <c r="B153" s="9">
        <f>VLOOKUP(A153,'[1]ERPs by country'!$A$8:$F$164,5)</f>
        <v>4.3299999999999998E-2</v>
      </c>
      <c r="C153" s="9">
        <f>VLOOKUP(A153,'[1]ERPs by country'!$A$8:$F$164,4)</f>
        <v>0</v>
      </c>
      <c r="D153" s="9">
        <f t="shared" si="2"/>
        <v>4.3299999999999998E-2</v>
      </c>
      <c r="E153" s="9">
        <f>VLOOKUP(A153,'[1]Country Tax Rates'!$A$2:$B$159,2)</f>
        <v>0.25</v>
      </c>
      <c r="F153" s="10">
        <f>VLOOKUP(A153,'[1]ERPs by country'!$A$8:$F$164,6)</f>
        <v>0</v>
      </c>
    </row>
    <row r="154" spans="1:6" ht="15">
      <c r="A154" s="11" t="str">
        <f>'[1]ERPs by country'!A160</f>
        <v>Uruguay</v>
      </c>
      <c r="B154" s="9">
        <f>VLOOKUP(A154,'[1]ERPs by country'!$A$8:$F$164,5)</f>
        <v>6.4632208614822828E-2</v>
      </c>
      <c r="C154" s="9">
        <f>VLOOKUP(A154,'[1]ERPs by country'!$A$8:$F$164,4)</f>
        <v>1.5830977766757577E-2</v>
      </c>
      <c r="D154" s="9">
        <f t="shared" si="2"/>
        <v>6.4632208614822828E-2</v>
      </c>
      <c r="E154" s="9">
        <f>VLOOKUP(A154,'[1]Country Tax Rates'!$A$2:$B$159,2)</f>
        <v>0.25</v>
      </c>
      <c r="F154" s="10">
        <f>VLOOKUP(A154,'[1]ERPs by country'!$A$8:$F$164,6)</f>
        <v>2.1332208614822837E-2</v>
      </c>
    </row>
    <row r="155" spans="1:6" ht="15">
      <c r="A155" s="11" t="str">
        <f>'[1]ERPs by country'!A161</f>
        <v>Uzbekistan</v>
      </c>
      <c r="B155" s="9">
        <f>VLOOKUP(A155,'[1]ERPs by country'!$A$8:$F$164,5)</f>
        <v>9.1297469383351385E-2</v>
      </c>
      <c r="C155" s="9">
        <f>VLOOKUP(A155,'[1]ERPs by country'!$A$8:$F$164,4)</f>
        <v>3.5619699975204554E-2</v>
      </c>
      <c r="D155" s="9">
        <f t="shared" si="2"/>
        <v>9.1297469383351385E-2</v>
      </c>
      <c r="E155" s="9">
        <f>VLOOKUP(A155,'[1]Country Tax Rates'!$A$2:$B$159,2)</f>
        <v>0.15</v>
      </c>
      <c r="F155" s="10">
        <f>VLOOKUP(A155,'[1]ERPs by country'!$A$8:$F$164,6)</f>
        <v>4.7997469383351386E-2</v>
      </c>
    </row>
    <row r="156" spans="1:6" ht="15">
      <c r="A156" s="11" t="str">
        <f>'[1]ERPs by country'!A162</f>
        <v>Venezuela</v>
      </c>
      <c r="B156" s="9">
        <f>VLOOKUP(A156,'[1]ERPs by country'!$A$8:$F$164,5)</f>
        <v>0.27911212497392057</v>
      </c>
      <c r="C156" s="9">
        <f>VLOOKUP(A156,'[1]ERPs by country'!$A$8:$F$164,4)</f>
        <v>0.17499999999999999</v>
      </c>
      <c r="D156" s="9">
        <f t="shared" si="2"/>
        <v>0.27911212497392057</v>
      </c>
      <c r="E156" s="9">
        <f>VLOOKUP(A156,'[1]Country Tax Rates'!$A$2:$B$159,2)</f>
        <v>0.34</v>
      </c>
      <c r="F156" s="10">
        <f>VLOOKUP(A156,'[1]ERPs by country'!$A$8:$F$164,6)</f>
        <v>0.23581212497392059</v>
      </c>
    </row>
    <row r="157" spans="1:6" ht="15">
      <c r="A157" s="11" t="str">
        <f>'[1]ERPs by country'!A163</f>
        <v>Vietnam</v>
      </c>
      <c r="B157" s="9">
        <f>VLOOKUP(A157,'[1]ERPs by country'!$A$8:$F$164,5)</f>
        <v>8.3454745627901811E-2</v>
      </c>
      <c r="C157" s="9">
        <f>VLOOKUP(A157,'[1]ERPs by country'!$A$8:$F$164,4)</f>
        <v>2.9799487560955448E-2</v>
      </c>
      <c r="D157" s="9">
        <f t="shared" si="2"/>
        <v>8.3454745627901811E-2</v>
      </c>
      <c r="E157" s="9">
        <f>VLOOKUP(A157,'[1]Country Tax Rates'!$A$2:$B$159,2)</f>
        <v>0.2</v>
      </c>
      <c r="F157" s="10">
        <f>VLOOKUP(A157,'[1]ERPs by country'!$A$8:$F$164,6)</f>
        <v>4.0154745627901819E-2</v>
      </c>
    </row>
    <row r="158" spans="1:6" ht="15">
      <c r="A158" s="11" t="str">
        <f>'[1]ERPs by country'!A164</f>
        <v>Zambia</v>
      </c>
      <c r="B158" s="9">
        <f>VLOOKUP(A158,'[1]ERPs by country'!$A$8:$F$164,5)</f>
        <v>0.16345052793348747</v>
      </c>
      <c r="C158" s="9">
        <f>VLOOKUP(A158,'[1]ERPs by country'!$A$8:$F$164,4)</f>
        <v>8.9165654186296364E-2</v>
      </c>
      <c r="D158" s="9">
        <f t="shared" si="2"/>
        <v>0.16345052793348747</v>
      </c>
      <c r="E158" s="9">
        <f>VLOOKUP(A158,'[1]Country Tax Rates'!$A$2:$B$159,2)</f>
        <v>0.35</v>
      </c>
      <c r="F158" s="10">
        <f>VLOOKUP(A158,'[1]ERPs by country'!$A$8:$F$164,6)</f>
        <v>0.12015052793348746</v>
      </c>
    </row>
    <row r="159" spans="1:6" ht="15">
      <c r="A159" s="11" t="s">
        <v>7</v>
      </c>
      <c r="B159" s="9"/>
      <c r="C159" s="9">
        <v>2.9799487560955441E-2</v>
      </c>
      <c r="D159" s="9">
        <v>8.3454745627901811E-2</v>
      </c>
      <c r="E159" s="9">
        <v>0.26</v>
      </c>
      <c r="F159" s="10">
        <v>4.0154745627901813E-2</v>
      </c>
    </row>
    <row r="160" spans="1:6" ht="15">
      <c r="A160" s="11" t="s">
        <v>8</v>
      </c>
      <c r="B160" s="9"/>
      <c r="C160" s="9">
        <v>5.9366166625340932E-3</v>
      </c>
      <c r="D160" s="9">
        <v>5.1299578230558564E-2</v>
      </c>
      <c r="E160" s="9">
        <v>0.185</v>
      </c>
      <c r="F160" s="10">
        <v>7.9995782305585655E-3</v>
      </c>
    </row>
    <row r="161" spans="1:6" ht="15">
      <c r="A161" s="11" t="s">
        <v>9</v>
      </c>
      <c r="B161" s="9"/>
      <c r="C161" s="9">
        <v>4.4582827093148189E-2</v>
      </c>
      <c r="D161" s="9">
        <v>0.10337526396674374</v>
      </c>
      <c r="E161" s="9">
        <v>0.27</v>
      </c>
      <c r="F161" s="10">
        <v>6.0075263966743737E-2</v>
      </c>
    </row>
    <row r="162" spans="1:6" ht="15">
      <c r="A162" s="11" t="s">
        <v>10</v>
      </c>
      <c r="B162" s="9"/>
      <c r="C162" s="9">
        <v>8.9165654186296364E-2</v>
      </c>
      <c r="D162" s="9">
        <v>0.16345052793348747</v>
      </c>
      <c r="E162" s="9">
        <v>0.29149999999999998</v>
      </c>
      <c r="F162" s="10">
        <v>0.12015052793348746</v>
      </c>
    </row>
    <row r="163" spans="1:6" ht="15">
      <c r="A163" s="11" t="s">
        <v>11</v>
      </c>
      <c r="B163" s="9"/>
      <c r="C163" s="9">
        <v>6.4371549301595152E-2</v>
      </c>
      <c r="D163" s="9">
        <v>0.13004052473527228</v>
      </c>
      <c r="E163" s="9">
        <v>0.29149999999999998</v>
      </c>
      <c r="F163" s="10">
        <v>8.6740524735272273E-2</v>
      </c>
    </row>
    <row r="164" spans="1:6" ht="15">
      <c r="A164" s="11" t="s">
        <v>12</v>
      </c>
      <c r="B164" s="9"/>
      <c r="C164" s="9">
        <v>1.5830977766757574E-2</v>
      </c>
      <c r="D164" s="9">
        <v>6.4632208614822828E-2</v>
      </c>
      <c r="E164" s="9">
        <v>0.18640000000000001</v>
      </c>
      <c r="F164" s="10">
        <v>2.133220861482283E-2</v>
      </c>
    </row>
    <row r="165" spans="1:6" ht="15">
      <c r="A165" s="11" t="s">
        <v>13</v>
      </c>
      <c r="B165" s="9"/>
      <c r="C165" s="9">
        <v>0.11884873749896686</v>
      </c>
      <c r="D165" s="9">
        <v>0.20344841908628034</v>
      </c>
      <c r="E165" s="9">
        <v>0.18640000000000001</v>
      </c>
      <c r="F165" s="10">
        <v>0.16014841908628033</v>
      </c>
    </row>
    <row r="166" spans="1:6" ht="15">
      <c r="A166" s="11" t="s">
        <v>14</v>
      </c>
      <c r="B166" s="9"/>
      <c r="C166" s="9">
        <v>6.4371549301595152E-2</v>
      </c>
      <c r="D166" s="9">
        <v>0.13004052473527228</v>
      </c>
      <c r="E166" s="9">
        <v>0.20230000000000001</v>
      </c>
      <c r="F166" s="10">
        <v>8.6740524735272273E-2</v>
      </c>
    </row>
    <row r="167" spans="1:6" ht="15">
      <c r="A167" s="11" t="s">
        <v>15</v>
      </c>
      <c r="B167" s="9"/>
      <c r="C167" s="9">
        <v>0.11884873749896686</v>
      </c>
      <c r="D167" s="9">
        <v>0.20344841908628034</v>
      </c>
      <c r="E167" s="9">
        <v>0.23100000000000001</v>
      </c>
      <c r="F167" s="10">
        <v>0.16014841908628033</v>
      </c>
    </row>
    <row r="168" spans="1:6" ht="15">
      <c r="A168" s="11" t="s">
        <v>16</v>
      </c>
      <c r="B168" s="9"/>
      <c r="C168" s="9">
        <v>8.9165654186296364E-2</v>
      </c>
      <c r="D168" s="9">
        <v>0.16345052793348747</v>
      </c>
      <c r="E168" s="9">
        <v>0.29149999999999998</v>
      </c>
      <c r="F168" s="10">
        <v>0.12015052793348746</v>
      </c>
    </row>
    <row r="169" spans="1:6" ht="15">
      <c r="A169" s="11" t="s">
        <v>17</v>
      </c>
      <c r="B169" s="9"/>
      <c r="C169" s="9">
        <v>1.5830977766757574E-2</v>
      </c>
      <c r="D169" s="9">
        <v>6.4632208614822828E-2</v>
      </c>
      <c r="E169" s="9">
        <v>0.24</v>
      </c>
      <c r="F169" s="10">
        <v>2.133220861482283E-2</v>
      </c>
    </row>
    <row r="170" spans="1:6" ht="15">
      <c r="A170" s="11" t="s">
        <v>18</v>
      </c>
      <c r="B170" s="9"/>
      <c r="C170" s="9">
        <v>5.4477188197371663E-2</v>
      </c>
      <c r="D170" s="9">
        <v>0.11670789435100801</v>
      </c>
      <c r="E170" s="9">
        <v>0.2</v>
      </c>
      <c r="F170" s="10">
        <v>7.3407894351008002E-2</v>
      </c>
    </row>
    <row r="171" spans="1:6" ht="15">
      <c r="A171" s="11" t="s">
        <v>19</v>
      </c>
      <c r="B171" s="9"/>
      <c r="C171" s="9">
        <v>8.9165654186296364E-2</v>
      </c>
      <c r="D171" s="9">
        <v>0.16345052793348747</v>
      </c>
      <c r="E171" s="9">
        <v>0.3</v>
      </c>
      <c r="F171" s="10">
        <v>0.12015052793348746</v>
      </c>
    </row>
    <row r="172" spans="1:6" ht="15">
      <c r="A172" s="11" t="s">
        <v>20</v>
      </c>
      <c r="B172" s="9"/>
      <c r="C172" s="9">
        <v>9.9060015290519873E-2</v>
      </c>
      <c r="D172" s="9">
        <v>0.17678315831775177</v>
      </c>
      <c r="E172" s="9">
        <v>0.22</v>
      </c>
      <c r="F172" s="10">
        <v>0.13348315831775176</v>
      </c>
    </row>
    <row r="173" spans="1:6" ht="15">
      <c r="A173" s="11" t="s">
        <v>21</v>
      </c>
      <c r="B173" s="9"/>
      <c r="C173" s="9">
        <v>2.9799487560955441E-2</v>
      </c>
      <c r="D173" s="9">
        <v>8.3454745627901811E-2</v>
      </c>
      <c r="E173" s="9">
        <v>0.2</v>
      </c>
      <c r="F173" s="10">
        <v>4.0154745627901813E-2</v>
      </c>
    </row>
    <row r="174" spans="1:6" ht="15">
      <c r="A174" s="11" t="s">
        <v>22</v>
      </c>
      <c r="B174" s="9"/>
      <c r="C174" s="9">
        <v>8.9165654186296364E-2</v>
      </c>
      <c r="D174" s="9">
        <v>0.16345052793348747</v>
      </c>
      <c r="E174" s="9">
        <v>0.25</v>
      </c>
      <c r="F174" s="10">
        <v>0.12015052793348746</v>
      </c>
    </row>
    <row r="175" spans="1:6" ht="15">
      <c r="A175" s="11" t="s">
        <v>23</v>
      </c>
      <c r="B175" s="9"/>
      <c r="C175" s="9">
        <v>9.9060015290519873E-2</v>
      </c>
      <c r="D175" s="9">
        <v>0.17678315831775177</v>
      </c>
      <c r="E175" s="9">
        <v>0.29149999999999998</v>
      </c>
      <c r="F175" s="10">
        <v>0.13348315831775176</v>
      </c>
    </row>
    <row r="176" spans="1:6" ht="15">
      <c r="A176" s="11" t="s">
        <v>24</v>
      </c>
      <c r="B176" s="9"/>
      <c r="C176" s="9">
        <v>0.17499999999999996</v>
      </c>
      <c r="D176" s="9">
        <v>0.27911212497392057</v>
      </c>
      <c r="E176" s="9">
        <v>0.35</v>
      </c>
      <c r="F176" s="10">
        <v>0.23581212497392057</v>
      </c>
    </row>
    <row r="177" spans="1:6" ht="15">
      <c r="A177" s="11" t="s">
        <v>25</v>
      </c>
      <c r="B177" s="9"/>
      <c r="C177" s="9">
        <v>0.17499999999999996</v>
      </c>
      <c r="D177" s="9">
        <v>0.27911212497392057</v>
      </c>
      <c r="E177" s="9">
        <v>0.28000000000000003</v>
      </c>
      <c r="F177" s="10">
        <v>0.23581212497392057</v>
      </c>
    </row>
    <row r="178" spans="1:6" ht="15">
      <c r="A178" s="11" t="s">
        <v>26</v>
      </c>
      <c r="B178" s="9"/>
      <c r="C178" s="9">
        <v>0.11884873749896686</v>
      </c>
      <c r="D178" s="9">
        <v>0.20344841908628034</v>
      </c>
      <c r="E178" s="9">
        <v>0.2</v>
      </c>
      <c r="F178" s="10">
        <v>0.16014841908628033</v>
      </c>
    </row>
    <row r="179" spans="1:6" ht="15">
      <c r="A179" s="11" t="s">
        <v>27</v>
      </c>
      <c r="B179" s="9"/>
      <c r="C179" s="9">
        <v>8.9165654186296364E-2</v>
      </c>
      <c r="D179" s="9">
        <v>0.16345052793348747</v>
      </c>
      <c r="E179" s="9">
        <v>0.2472</v>
      </c>
      <c r="F179" s="10">
        <v>0.12015052793348746</v>
      </c>
    </row>
    <row r="180" spans="1:6" ht="15">
      <c r="A180"/>
      <c r="B180" s="1"/>
      <c r="C1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Ricardo Guimaraes</cp:lastModifiedBy>
  <dcterms:created xsi:type="dcterms:W3CDTF">2015-06-05T18:19:34Z</dcterms:created>
  <dcterms:modified xsi:type="dcterms:W3CDTF">2025-12-08T02:50:02Z</dcterms:modified>
</cp:coreProperties>
</file>